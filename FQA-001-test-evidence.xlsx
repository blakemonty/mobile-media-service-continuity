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PROJECT OVERVIEW" sheetId="2" r:id="rId6"/>
    <sheet name="TEST PLAN" sheetId="3" r:id="rId7"/>
    <sheet name="FIELD LOG" sheetId="4" r:id="rId8"/>
    <sheet name="RUN DETAIL" sheetId="5" r:id="rId9"/>
    <sheet name="SUMMARY" sheetId="6" r:id="rId10"/>
    <sheet name="TEST ITERATIONS" sheetId="7" r:id="rId11"/>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<sst xmlns="http://schemas.openxmlformats.org/spreadsheetml/2006/main" uniqueCount="279">
  <si>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</si>
  <si>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</si>
  <si>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</si>
  <si>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</si>
  <si>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PROJECT OVERVIEW</t>
  </si>
  <si>
    <t>Table 1</t>
  </si>
  <si>
    <t>FIELD QUALITY ASSURANCE</t>
  </si>
  <si>
    <t>FQA-001 — Mobile Media Service Continuity During a Repeatable Real-World Route</t>
  </si>
  <si>
    <t>Independent consumer-device field study · Methodology adapted from public GSMA TS.11 field-test principles</t>
  </si>
  <si>
    <t>TEST ID</t>
  </si>
  <si>
    <t>VERSION</t>
  </si>
  <si>
    <t>STATUS</t>
  </si>
  <si>
    <t>DEVICE UNDER TEST</t>
  </si>
  <si>
    <t>FQA-001</t>
  </si>
  <si>
    <t>1.0</t>
  </si>
  <si>
    <t>Baseline Testing</t>
  </si>
  <si>
    <t>iPhone</t>
  </si>
  <si>
    <t>RESEARCH QUESTION</t>
  </si>
  <si>
    <t>Does an active internet-based media session remain usable while an iPhone moves through a repeatable real-world route containing changing connectivity conditions?</t>
  </si>
  <si>
    <t>OBJECTIVE</t>
  </si>
  <si>
    <t>To practise disciplined field quality assurance on a consumer device: define an expected behaviour, execute a fixed and repeatable procedure, observe real-world outcomes without instrumentation, and record findings in a form that supports reproducibility, isolation, and cautious conclusions.
The objective is methodological rigour, not a verdict on any product.</t>
  </si>
  <si>
    <t>SERVICE UNDER TEST</t>
  </si>
  <si>
    <t>YouTube Premium background audio played through Powerbeats Pro, with the YouTube application minimised so that playback continues in the background for the duration of the route.</t>
  </si>
  <si>
    <t>EXPECTED BEHAVIOUR</t>
  </si>
  <si>
    <t>Playback should remain usable throughout the route without an unexpected interruption requiring user intervention.</t>
  </si>
  <si>
    <t>METHODOLOGY</t>
  </si>
  <si>
    <t>Expected behaviour → controlled procedure → real-world observation → reproducibility → isolation → evidence → cautious conclusion.
A single baseline configuration is held constant across a campaign of repeated runs over one fixed route. Configuration, route, service, and procedure are documented before testing begins. Each run is logged immediately afterwards. Later campaigns change one variable at a time, and only where a real observation justifies the change.</t>
  </si>
  <si>
    <t>SCOPE</t>
  </si>
  <si>
    <t>One iPhone. One fixed out-and-back walking route with five defined landmarks (A-E), following A → B → C → D → E outbound and E → D → C → B → A on return. One active service. One audio accessory. Baseline campaign of five runs, with the field log sized for further runs.
Out of scope for FQA-001: Apple Watch, Mac, comparative or reference devices, deliberate degradation of connectivity, and any change to device settings mid-run.</t>
  </si>
  <si>
    <t>LIMITATIONS</t>
  </si>
  <si>
    <t>No protocol logs, Cell IDs, signal-strength captures, engineering builds, internal diagnostic tools, or controlled network conditions are available. Radio conditions, network load, and environmental factors are uncontrolled and unmeasured.
Observations are perceptual and human-timed; durations are approximate. Route position is recorded by landmark, not by precise location. No product requirement document exists against which a result could be called a failure, which is why the result categories use OBSERVED INTERRUPTION rather than FAIL.</t>
  </si>
  <si>
    <t>OBSERVATION  ≠  INTERPRETATION</t>
  </si>
  <si>
    <t>Observation</t>
  </si>
  <si>
    <t>What was directly perceived during the run, stated plainly and without cause. Example form: "Audio stopped for roughly four seconds shortly after leaving the building, then resumed on its own."</t>
  </si>
  <si>
    <t>Interpretation</t>
  </si>
  <si>
    <t>A candidate explanation, explicitly labelled as such and held loosely. Example form: "This may be consistent with a transition away from Wi-Fi, but no network evidence was collected and other explanations are not excluded."</t>
  </si>
  <si>
    <t>Rule for this project</t>
  </si>
  <si>
    <t>No observation in the field log may name a Wi-Fi-to-cellular transition, a 5G→LTE handover, a cell reselection, or any other network event. Such statements belong only in the interpretation column, and only with the uncertainty stated alongside them.</t>
  </si>
  <si>
    <t>This project adapts concepts from GSMA TS.11 for independent consumer-device field testing. It is not a GSMA certification test and does not use proprietary network, protocol, or device diagnostic tooling.</t>
  </si>
  <si>
    <t>Not affiliated with, endorsed by, or representative of any employer, carrier, device manufacturer, or standards body. All data is collected on personally owned equipment under ordinary consumer conditions.</t>
  </si>
  <si>
    <t>CELL LEGEND</t>
  </si>
  <si>
    <t>Input — you complete this cell</t>
  </si>
  <si>
    <t>Calculated — formula driven, do not overwrite</t>
  </si>
  <si>
    <t>Reference — fixed project text</t>
  </si>
  <si>
    <t>TEST PLAN</t>
  </si>
  <si>
    <t>Test Plan</t>
  </si>
  <si>
    <t>FQA-001 · Baseline configuration, route definition, procedure, and result definitions · Version 1.0</t>
  </si>
  <si>
    <t>BASELINE CONFIGURATION  ·  record once per campaign, or again whenever it changes</t>
  </si>
  <si>
    <t>iPhone model</t>
  </si>
  <si>
    <t xml:space="preserve">iPhone 15 Pro </t>
  </si>
  <si>
    <t>iOS version</t>
  </si>
  <si>
    <t>Carrier</t>
  </si>
  <si>
    <t>T-Mobile</t>
  </si>
  <si>
    <t>Wi-Fi</t>
  </si>
  <si>
    <t>On</t>
  </si>
  <si>
    <t>Cellular Data</t>
  </si>
  <si>
    <t>Low Power Mode</t>
  </si>
  <si>
    <t>Off</t>
  </si>
  <si>
    <t>VPN</t>
  </si>
  <si>
    <t>Starting battery %</t>
  </si>
  <si>
    <t>Audio device</t>
  </si>
  <si>
    <t>Powerbeats Pro</t>
  </si>
  <si>
    <t>Media service</t>
  </si>
  <si>
    <t>YouTube Premium</t>
  </si>
  <si>
    <t>Playback type</t>
  </si>
  <si>
    <t>Background audio</t>
  </si>
  <si>
    <t>Predetermined media (title / URL)</t>
  </si>
  <si>
    <t xml:space="preserve">YouTube videos lasting for at least 35 minutes. </t>
  </si>
  <si>
    <t>Starting volume</t>
  </si>
  <si>
    <t>Other relevant settings</t>
  </si>
  <si>
    <t>Starting battery % is recorded per run in the FIELD LOG; the value above is the campaign default.</t>
  </si>
  <si>
    <t xml:space="preserve">ROUTE DEFINITION  ·  five fixed landmarks, following the same out-and-back route every run </t>
  </si>
  <si>
    <t>Landmark</t>
  </si>
  <si>
    <t>Name</t>
  </si>
  <si>
    <t>Description — fixed physical reference point</t>
  </si>
  <si>
    <t>A</t>
  </si>
  <si>
    <t>Starting point — inside apartment</t>
  </si>
  <si>
    <t>Stationary indoor start position. Playback is confirmed normal here before the walk begins.</t>
  </si>
  <si>
    <t>B</t>
  </si>
  <si>
    <t>Building exit</t>
  </si>
  <si>
    <t xml:space="preserve">Street level exit from apartment property onto the public sidewalk; beginning of the outdoor walking portion of the route. </t>
  </si>
  <si>
    <t>C</t>
  </si>
  <si>
    <t>First outdoor landmark</t>
  </si>
  <si>
    <t xml:space="preserve">Pease Park entrance at Kingsbury Street, identified by the stone archway and park entrance signage. </t>
  </si>
  <si>
    <t>D</t>
  </si>
  <si>
    <t>Mid-route landmark</t>
  </si>
  <si>
    <t xml:space="preserve">Unpaved trail segment within Pease Park/Shoal Creek Trail, after entering the wooded portion of the route. </t>
  </si>
  <si>
    <t>E</t>
  </si>
  <si>
    <t xml:space="preserve">Turnaround point </t>
  </si>
  <si>
    <t xml:space="preserve">Shoal Creek Trail Mile 2.0 marker; fixed turnaround point before retracing the route. </t>
  </si>
  <si>
    <t>TEST PROCEDURE  ·  executed identically on every run</t>
  </si>
  <si>
    <t>Record run number, date and time, starting battery percentage, and any unusual environmental conditions.</t>
  </si>
  <si>
    <t>Connect Powerbeats Pro normally.</t>
  </si>
  <si>
    <t>Confirm Wi-Fi and Cellular Data are enabled.</t>
  </si>
  <si>
    <t>Open the predetermined YouTube video / media.</t>
  </si>
  <si>
    <t>Begin playback while stationary at Point A.</t>
  </si>
  <si>
    <t>Confirm normal playback.</t>
  </si>
  <si>
    <t>Minimise YouTube while maintaining background playback.</t>
  </si>
  <si>
    <t xml:space="preserve">Walk the defined out-and-back route at a normal pace, following A→ B→ C→ D→ E, then retracing E→ D→ C→ B → A.  </t>
  </si>
  <si>
    <t>Do not manually change connectivity settings during the run.</t>
  </si>
  <si>
    <t>Do not restart or reload playback unless intervention becomes necessary.</t>
  </si>
  <si>
    <t>Note any observable interruption and approximately where it occurred.</t>
  </si>
  <si>
    <t xml:space="preserve">Continue to Point E, then retrace the same route to Point A while maintaining background playback. </t>
  </si>
  <si>
    <t>Record whether playback remained continuous and whether an interruption recovered automatically.</t>
  </si>
  <si>
    <t>Complete the field log immediately after the run.</t>
  </si>
  <si>
    <t>RESULT DEFINITIONS  ·  exactly three categories</t>
  </si>
  <si>
    <t>PASS</t>
  </si>
  <si>
    <t>Playback remained usable throughout the route without an unexpected interruption.</t>
  </si>
  <si>
    <t>OBSERVED INTERRUPTION</t>
  </si>
  <si>
    <t>Playback unexpectedly stopped, buffered, or perceptibly degraded during the route.</t>
  </si>
  <si>
    <t>INVALID RUN</t>
  </si>
  <si>
    <t>An unrelated event compromised the procedure — for example accidental pause, incoming call, substantial route deviation, or audio-device failure. Invalid runs are excluded from rate calculations.</t>
  </si>
  <si>
    <t>FAIL is deliberately not used. A failure claim requires a stated product requirement and instrumented evidence; neither is available here. An observed interruption is recorded as an observation, not as a defect.</t>
  </si>
  <si>
    <t>FIELD LOG</t>
  </si>
  <si>
    <t>Field Log</t>
  </si>
  <si>
    <t>FQA-001 · One row per run · Complete immediately after each run · Baseline campaign = 5 runs</t>
  </si>
  <si>
    <t>Formats — Date: YYYY-MM-DD · Start time: HH:MM · Battery: whole number · Duration: whole seconds · Leave any cell blank where it does not apply. Record nothing you did not actually observe.</t>
  </si>
  <si>
    <t>RUN CONTEXT</t>
  </si>
  <si>
    <t>DIRECT OBSERVATION — what happened</t>
  </si>
  <si>
    <t>INTERPRETATION — what it might mean</t>
  </si>
  <si>
    <t>Run ID</t>
  </si>
  <si>
    <t>Date</t>
  </si>
  <si>
    <t>Start time</t>
  </si>
  <si>
    <t>Start battery %</t>
  </si>
  <si>
    <t>Environmental / route conditions</t>
  </si>
  <si>
    <t>Interruption observed?</t>
  </si>
  <si>
    <t>Approx. route location</t>
  </si>
  <si>
    <t>Approx. duration (s)</t>
  </si>
  <si>
    <t>Automatically recovered?</t>
  </si>
  <si>
    <t>User intervention required?</t>
  </si>
  <si>
    <t>Result</t>
  </si>
  <si>
    <t>Direct observation</t>
  </si>
  <si>
    <t>Interpretation / hypothesis</t>
  </si>
  <si>
    <t>Next isolation step</t>
  </si>
  <si>
    <t>FQA-001-R01</t>
  </si>
  <si>
    <t xml:space="preserve">Normal route; no unusual conditions observed. </t>
  </si>
  <si>
    <t>No</t>
  </si>
  <si>
    <t>N/A</t>
  </si>
  <si>
    <t xml:space="preserve">Continuous background audio playback was maintained throughout the complete out-and-back route. No perceptible interruption, buffering, or playback degradation was observed. </t>
  </si>
  <si>
    <t>FQA-001-R02</t>
  </si>
  <si>
    <t>FQA-001-R03</t>
  </si>
  <si>
    <t>FQA-001-R04</t>
  </si>
  <si>
    <t>FQA-001-R05</t>
  </si>
  <si>
    <t>FQA-001-R06</t>
  </si>
  <si>
    <t>FQA-001-R07</t>
  </si>
  <si>
    <t>FQA-001-R08</t>
  </si>
  <si>
    <t>FQA-001-R09</t>
  </si>
  <si>
    <t>FQA-001-R10</t>
  </si>
  <si>
    <t>FQA-001-R11</t>
  </si>
  <si>
    <t>FQA-001-R12</t>
  </si>
  <si>
    <t>FQA-001-R13</t>
  </si>
  <si>
    <t>FQA-001-R14</t>
  </si>
  <si>
    <t>FQA-001-R15</t>
  </si>
  <si>
    <t>FQA-001-R16</t>
  </si>
  <si>
    <t>FQA-001-R17</t>
  </si>
  <si>
    <t>FQA-001-R18</t>
  </si>
  <si>
    <t>FQA-001-R19</t>
  </si>
  <si>
    <t>FQA-001-R20</t>
  </si>
  <si>
    <t>FQA-001-R21</t>
  </si>
  <si>
    <t>FQA-001-R22</t>
  </si>
  <si>
    <t>FQA-001-R23</t>
  </si>
  <si>
    <t>FQA-001-R24</t>
  </si>
  <si>
    <t>FQA-001-R25</t>
  </si>
  <si>
    <t>FQA-001-R26</t>
  </si>
  <si>
    <t>FQA-001-R27</t>
  </si>
  <si>
    <t>FQA-001-R28</t>
  </si>
  <si>
    <t>FQA-001-R29</t>
  </si>
  <si>
    <t>FQA-001-R30</t>
  </si>
  <si>
    <t>FQA-001-R31</t>
  </si>
  <si>
    <t>FQA-001-R32</t>
  </si>
  <si>
    <t>FQA-001-R33</t>
  </si>
  <si>
    <t>FQA-001-R34</t>
  </si>
  <si>
    <t>FQA-001-R35</t>
  </si>
  <si>
    <t>FQA-001-R36</t>
  </si>
  <si>
    <t>FQA-001-R37</t>
  </si>
  <si>
    <t>FQA-001-R38</t>
  </si>
  <si>
    <t>FQA-001-R39</t>
  </si>
  <si>
    <t>FQA-001-R40</t>
  </si>
  <si>
    <t>Direct observation (column L) states only what was perceived — sound, silence, timing, place. Interpretation (columns M–N) is shaded differently because it is not evidence: it is a candidate explanation to be tested by changing one variable at a time.</t>
  </si>
  <si>
    <t>RUN DETAIL</t>
  </si>
  <si>
    <t>Run Detail</t>
  </si>
  <si>
    <t>FQA-001 · Deep-dive template for a single run of interest · Duplicate this sheet per investigated run</t>
  </si>
  <si>
    <t>EVIDENCE — what is on the record</t>
  </si>
  <si>
    <t>Preconditions</t>
  </si>
  <si>
    <t>Configuration at the start of the run: device state, settings, battery, audio device, media, volume. Note anything that differed from the baseline configuration.</t>
  </si>
  <si>
    <t>Route / location</t>
  </si>
  <si>
    <t>Which landmarks or segments the run covered, and where along the route the behaviour occurred.</t>
  </si>
  <si>
    <t>Timeline</t>
  </si>
  <si>
    <t>Sequence of the run with approximate clock or elapsed times: playback start, departure, landmark passes, the event, recovery, arrival.</t>
  </si>
  <si>
    <t>Exact observed behaviour</t>
  </si>
  <si>
    <t>What was perceived, stated without cause. Sound, silence, stutter, buffering, degradation — and nothing about why.</t>
  </si>
  <si>
    <t>Approximate duration</t>
  </si>
  <si>
    <t>Human-timed, stated as approximate.</t>
  </si>
  <si>
    <t>Automatic recovery</t>
  </si>
  <si>
    <t>Did playback resume without any user action? If so, roughly how long did that take?</t>
  </si>
  <si>
    <t>Intervention</t>
  </si>
  <si>
    <t>What, if anything, you had to do. If you intervened, note the point at which you stopped waiting.</t>
  </si>
  <si>
    <t>Reproducibility</t>
  </si>
  <si>
    <t>Has this been seen in other runs? In which ones, and at what point in the route? How many runs have been attempted under this configuration?</t>
  </si>
  <si>
    <t>BOUNDARIES — what can and cannot be claimed</t>
  </si>
  <si>
    <t>Potential variables</t>
  </si>
  <si>
    <t>Everything that plausibly differed and was not controlled: weather, time of day, route deviation, pedestrian density, battery level, thermal state, accessory battery, network load.</t>
  </si>
  <si>
    <t>Evidence available</t>
  </si>
  <si>
    <t>What genuinely supports the account: the field log entry, timing, repeated observation across runs, anything recorded at the time.</t>
  </si>
  <si>
    <t>Evidence unavailable</t>
  </si>
  <si>
    <t>What would be needed and is not available: protocol logs, Cell IDs, signal measurements, network-side data, device diagnostics, controlled conditions.</t>
  </si>
  <si>
    <t>INFERENCE — clearly labelled as such</t>
  </si>
  <si>
    <t>Hypothesis</t>
  </si>
  <si>
    <t>A candidate explanation, phrased as a possibility and not as a finding.</t>
  </si>
  <si>
    <t>Confidence / uncertainty</t>
  </si>
  <si>
    <t>How strongly this is held, what would weaken it, and which competing explanations remain open.</t>
  </si>
  <si>
    <t>NEXT MOVE</t>
  </si>
  <si>
    <t>Proposed next test</t>
  </si>
  <si>
    <t>The smallest test that would move this forward, described concretely enough to execute.</t>
  </si>
  <si>
    <t>Single variable to change</t>
  </si>
  <si>
    <t>Exactly one. Everything else is held constant.</t>
  </si>
  <si>
    <t>“What single variable would give me the most information next?”</t>
  </si>
  <si>
    <t>SUMMARY</t>
  </si>
  <si>
    <t>Summary</t>
  </si>
  <si>
    <t>FQA-001 · Calculated from the FIELD LOG · Values update automatically as runs are recorded</t>
  </si>
  <si>
    <t>CAMPAIGN COUNTS</t>
  </si>
  <si>
    <t>Runs logged</t>
  </si>
  <si>
    <t>Any row with a result recorded.</t>
  </si>
  <si>
    <t>Total valid runs</t>
  </si>
  <si>
    <t>Excludes invalid runs.</t>
  </si>
  <si>
    <t>Passes</t>
  </si>
  <si>
    <t>Observed interruptions</t>
  </si>
  <si>
    <t>Invalid runs</t>
  </si>
  <si>
    <t>Procedure compromised; excluded from rates.</t>
  </si>
  <si>
    <t>Baseline target</t>
  </si>
  <si>
    <t>Runs planned for the FQA-001 baseline campaign.</t>
  </si>
  <si>
    <t>Baseline runs remaining</t>
  </si>
  <si>
    <t>RATES</t>
  </si>
  <si>
    <t>Interruption rate</t>
  </si>
  <si>
    <t>Observed interruptions ÷ valid runs.</t>
  </si>
  <si>
    <t>Automatic recovery count</t>
  </si>
  <si>
    <t>Interruptions that resolved without user action.</t>
  </si>
  <si>
    <t>Automatic recovery rate</t>
  </si>
  <si>
    <t>Automatic recoveries ÷ observed interruptions.</t>
  </si>
  <si>
    <t>Interventions required</t>
  </si>
  <si>
    <t>Runs where the device had to be touched to restore playback.</t>
  </si>
  <si>
    <t>OBSERVED INTERRUPTIONS BY ROUTE LOCATION</t>
  </si>
  <si>
    <t>Landmark / segment</t>
  </si>
  <si>
    <t>Count</t>
  </si>
  <si>
    <t>A (apartment)</t>
  </si>
  <si>
    <t>B (building exit)</t>
  </si>
  <si>
    <t>C (first outdoor)</t>
  </si>
  <si>
    <t>D (mid-route)</t>
  </si>
  <si>
    <t>E (destination)</t>
  </si>
  <si>
    <t>Between A and B</t>
  </si>
  <si>
    <t>Between B and C</t>
  </si>
  <si>
    <t>Between C and D</t>
  </si>
  <si>
    <t>Between D and E</t>
  </si>
  <si>
    <t>Unclear</t>
  </si>
  <si>
    <t>Total located interruptions</t>
  </si>
  <si>
    <t>Interruptions with no location recorded</t>
  </si>
  <si>
    <t>Rates display as blank until at least one valid run is recorded. Counts are not conclusions: a clean five-run baseline is a legitimate result and does not establish that interruptions cannot occur, and a single interruption does not establish a pattern.</t>
  </si>
  <si>
    <t>TEST ITERATIONS</t>
  </si>
  <si>
    <t>Test Iterations</t>
  </si>
  <si>
    <t>Planned and completed experiments following FQA-001 · One variable per iteration</t>
  </si>
  <si>
    <t>A new test earns its place only when a real observation prompts it. Change one variable, hold the rest constant, and state in advance what result would count as evidence against the hypothesis.</t>
  </si>
  <si>
    <t>Test ID</t>
  </si>
  <si>
    <t>Trigger / finding from previous test</t>
  </si>
  <si>
    <t>Question</t>
  </si>
  <si>
    <t>Variable changed</t>
  </si>
  <si>
    <t>Variables held constant</t>
  </si>
  <si>
    <t>Procedure change</t>
  </si>
  <si>
    <t>Conclusion</t>
  </si>
  <si>
    <t>Next test</t>
  </si>
  <si>
    <t>FQA-002</t>
  </si>
  <si>
    <t>FQA-003</t>
  </si>
  <si>
    <t>FQA-004</t>
  </si>
  <si>
    <t>FQA-005</t>
  </si>
  <si>
    <t>FQA-006</t>
  </si>
  <si>
    <t>FQA-007</t>
  </si>
  <si>
    <t>FQA-008</t>
  </si>
  <si>
    <t>FQA-009</t>
  </si>
  <si>
    <t>FQA-010</t>
  </si>
  <si>
    <t>Later phases may extend to iPhone cellular mobility, Apple Watch service continuity, degraded connectivity, recovery behaviour, ecosystem and device transitions, comparative reference devices, and controlled real-world scenarios. None of these belong in FQA-001.</t>
  </si>
</sst>
</file>

<file path=xl/styles.xml><?xml version="1.0" encoding="utf-8"?>
<styleSheet xmlns="http://schemas.openxmlformats.org/spreadsheetml/2006/main">
  <numFmts count="6">
    <numFmt numFmtId="0" formatCode="General"/>
    <numFmt numFmtId="59" formatCode="yyyy&quot;-&quot;mm&quot;-&quot;dd"/>
    <numFmt numFmtId="60" formatCode="hh:mm"/>
    <numFmt numFmtId="61" formatCode="0&quot;%&quot;"/>
    <numFmt numFmtId="62" formatCode="yyyy-mm-dd"/>
    <numFmt numFmtId="63" formatCode="0.0%"/>
  </numFmts>
  <fonts count="27">
    <font>
      <sz val="11"/>
      <color indexed="8"/>
      <name val="Calibri"/>
    </font>
    <font>
      <sz val="12"/>
      <color indexed="8"/>
      <name val="Calibri"/>
    </font>
    <font>
      <sz val="14"/>
      <color indexed="8"/>
      <name val="Calibri"/>
    </font>
    <font>
      <sz val="8"/>
      <color indexed="8"/>
      <name val="Calibri"/>
    </font>
    <font>
      <u val="single"/>
      <sz val="12"/>
      <color indexed="11"/>
      <name val="Calibri"/>
    </font>
    <font>
      <sz val="15"/>
      <color indexed="8"/>
      <name val="Calibri"/>
    </font>
    <font>
      <sz val="9"/>
      <color indexed="14"/>
      <name val="Arial"/>
    </font>
    <font>
      <sz val="18"/>
      <color indexed="15"/>
      <name val="Arial"/>
    </font>
    <font>
      <sz val="9"/>
      <color indexed="16"/>
      <name val="Arial"/>
    </font>
    <font>
      <sz val="8"/>
      <color indexed="16"/>
      <name val="Arial"/>
    </font>
    <font>
      <sz val="11"/>
      <color indexed="15"/>
      <name val="Arial"/>
    </font>
    <font>
      <sz val="9"/>
      <color indexed="18"/>
      <name val="Arial"/>
    </font>
    <font>
      <sz val="10"/>
      <color indexed="15"/>
      <name val="Arial"/>
    </font>
    <font>
      <sz val="12"/>
      <color indexed="14"/>
      <name val="Arial"/>
    </font>
    <font>
      <sz val="10"/>
      <color indexed="14"/>
      <name val="Arial"/>
    </font>
    <font>
      <sz val="8"/>
      <color indexed="16"/>
      <name val="Arial"/>
    </font>
    <font>
      <sz val="9"/>
      <color indexed="15"/>
      <name val="Arial"/>
    </font>
    <font>
      <sz val="9"/>
      <color indexed="14"/>
      <name val="Arial"/>
    </font>
    <font>
      <sz val="16"/>
      <color indexed="15"/>
      <name val="Arial"/>
    </font>
    <font>
      <sz val="10"/>
      <color indexed="18"/>
      <name val="Arial"/>
    </font>
    <font>
      <sz val="9"/>
      <color indexed="12"/>
      <name val="Arial"/>
    </font>
    <font>
      <sz val="11"/>
      <color indexed="14"/>
      <name val="Arial"/>
    </font>
    <font>
      <sz val="9"/>
      <color indexed="18"/>
      <name val="Arial"/>
    </font>
    <font>
      <sz val="9"/>
      <color indexed="16"/>
      <name val="Arial"/>
    </font>
    <font>
      <sz val="8"/>
      <color indexed="12"/>
      <name val="Arial"/>
    </font>
    <font>
      <sz val="9"/>
      <color indexed="15"/>
      <name val="Arial"/>
    </font>
    <font>
      <sz val="10"/>
      <color indexed="16"/>
      <name val="Arial"/>
    </font>
  </fonts>
  <fills count="13">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7"/>
        <bgColor auto="1"/>
      </patternFill>
    </fill>
    <fill>
      <patternFill patternType="solid">
        <fgColor indexed="20"/>
        <bgColor auto="1"/>
      </patternFill>
    </fill>
    <fill>
      <patternFill patternType="solid">
        <fgColor indexed="22"/>
        <bgColor auto="1"/>
      </patternFill>
    </fill>
    <fill>
      <patternFill patternType="solid">
        <fgColor indexed="23"/>
        <bgColor auto="1"/>
      </patternFill>
    </fill>
    <fill>
      <patternFill patternType="solid">
        <fgColor indexed="18"/>
        <bgColor auto="1"/>
      </patternFill>
    </fill>
    <fill>
      <patternFill patternType="solid">
        <fgColor indexed="14"/>
        <bgColor auto="1"/>
      </patternFill>
    </fill>
    <fill>
      <patternFill patternType="solid">
        <fgColor indexed="16"/>
        <bgColor auto="1"/>
      </patternFill>
    </fill>
    <fill>
      <patternFill patternType="solid">
        <fgColor indexed="24"/>
        <bgColor auto="1"/>
      </patternFill>
    </fill>
  </fills>
  <borders count="71">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right/>
      <top/>
      <bottom style="medium">
        <color indexed="14"/>
      </bottom>
      <diagonal/>
    </border>
    <border>
      <left/>
      <right style="thin">
        <color indexed="13"/>
      </right>
      <top/>
      <bottom style="medium">
        <color indexed="14"/>
      </bottom>
      <diagonal/>
    </border>
    <border>
      <left/>
      <right/>
      <top style="medium">
        <color indexed="14"/>
      </top>
      <bottom/>
      <diagonal/>
    </border>
    <border>
      <left/>
      <right style="thin">
        <color indexed="13"/>
      </right>
      <top style="medium">
        <color indexed="14"/>
      </top>
      <bottom/>
      <diagonal/>
    </border>
    <border>
      <left/>
      <right/>
      <top/>
      <bottom style="thin">
        <color indexed="19"/>
      </bottom>
      <diagonal/>
    </border>
    <border>
      <left/>
      <right style="thin">
        <color indexed="13"/>
      </right>
      <top/>
      <bottom style="thin">
        <color indexed="19"/>
      </bottom>
      <diagonal/>
    </border>
    <border>
      <left/>
      <right/>
      <top style="thin">
        <color indexed="19"/>
      </top>
      <bottom/>
      <diagonal/>
    </border>
    <border>
      <left/>
      <right style="thin">
        <color indexed="13"/>
      </right>
      <top style="thin">
        <color indexed="19"/>
      </top>
      <bottom/>
      <diagonal/>
    </border>
    <border>
      <left/>
      <right/>
      <top/>
      <bottom style="thin">
        <color indexed="14"/>
      </bottom>
      <diagonal/>
    </border>
    <border>
      <left/>
      <right style="thin">
        <color indexed="13"/>
      </right>
      <top/>
      <bottom style="thin">
        <color indexed="14"/>
      </bottom>
      <diagonal/>
    </border>
    <border>
      <left style="thin">
        <color indexed="13"/>
      </left>
      <right style="thin">
        <color indexed="14"/>
      </right>
      <top/>
      <bottom/>
      <diagonal/>
    </border>
    <border>
      <left style="thin">
        <color indexed="14"/>
      </left>
      <right style="thin">
        <color indexed="14"/>
      </right>
      <top style="thin">
        <color indexed="14"/>
      </top>
      <bottom style="thin">
        <color indexed="14"/>
      </bottom>
      <diagonal/>
    </border>
    <border>
      <left style="thin">
        <color indexed="14"/>
      </left>
      <right style="thin">
        <color indexed="13"/>
      </right>
      <top style="thin">
        <color indexed="14"/>
      </top>
      <bottom style="thin">
        <color indexed="14"/>
      </bottom>
      <diagonal/>
    </border>
    <border>
      <left/>
      <right/>
      <top style="thin">
        <color indexed="14"/>
      </top>
      <bottom/>
      <diagonal/>
    </border>
    <border>
      <left/>
      <right style="thin">
        <color indexed="13"/>
      </right>
      <top style="thin">
        <color indexed="14"/>
      </top>
      <bottom/>
      <diagonal/>
    </border>
    <border>
      <left/>
      <right/>
      <top/>
      <bottom style="thin">
        <color indexed="21"/>
      </bottom>
      <diagonal/>
    </border>
    <border>
      <left style="thin">
        <color indexed="13"/>
      </left>
      <right style="thin">
        <color indexed="21"/>
      </right>
      <top/>
      <bottom/>
      <diagonal/>
    </border>
    <border>
      <left style="thin">
        <color indexed="21"/>
      </left>
      <right style="thin">
        <color indexed="21"/>
      </right>
      <top style="thin">
        <color indexed="21"/>
      </top>
      <bottom style="thin">
        <color indexed="19"/>
      </bottom>
      <diagonal/>
    </border>
    <border>
      <left style="thin">
        <color indexed="21"/>
      </left>
      <right/>
      <top/>
      <bottom/>
      <diagonal/>
    </border>
    <border>
      <left style="thin">
        <color indexed="13"/>
      </left>
      <right style="thin">
        <color indexed="19"/>
      </right>
      <top/>
      <bottom/>
      <diagonal/>
    </border>
    <border>
      <left style="thin">
        <color indexed="19"/>
      </left>
      <right style="thin">
        <color indexed="19"/>
      </right>
      <top style="thin">
        <color indexed="19"/>
      </top>
      <bottom style="thin">
        <color indexed="19"/>
      </bottom>
      <diagonal/>
    </border>
    <border>
      <left style="thin">
        <color indexed="19"/>
      </left>
      <right/>
      <top/>
      <bottom/>
      <diagonal/>
    </border>
    <border>
      <left style="thin">
        <color indexed="13"/>
      </left>
      <right style="thin">
        <color indexed="19"/>
      </right>
      <top/>
      <bottom style="thin">
        <color indexed="13"/>
      </bottom>
      <diagonal/>
    </border>
    <border>
      <left style="thin">
        <color indexed="19"/>
      </left>
      <right/>
      <top/>
      <bottom style="thin">
        <color indexed="13"/>
      </bottom>
      <diagonal/>
    </border>
    <border>
      <left/>
      <right/>
      <top/>
      <bottom style="thin">
        <color indexed="13"/>
      </bottom>
      <diagonal/>
    </border>
    <border>
      <left/>
      <right style="thin">
        <color indexed="13"/>
      </right>
      <top/>
      <bottom style="thin">
        <color indexed="13"/>
      </bottom>
      <diagonal/>
    </border>
    <border>
      <left/>
      <right/>
      <top style="thin">
        <color indexed="19"/>
      </top>
      <bottom style="thin">
        <color indexed="21"/>
      </bottom>
      <diagonal/>
    </border>
    <border>
      <left/>
      <right style="thin">
        <color indexed="13"/>
      </right>
      <top style="thin">
        <color indexed="19"/>
      </top>
      <bottom style="thin">
        <color indexed="21"/>
      </bottom>
      <diagonal/>
    </border>
    <border>
      <left/>
      <right style="thin">
        <color indexed="21"/>
      </right>
      <top/>
      <bottom/>
      <diagonal/>
    </border>
    <border>
      <left style="thin">
        <color indexed="21"/>
      </left>
      <right style="thin">
        <color indexed="21"/>
      </right>
      <top style="thin">
        <color indexed="21"/>
      </top>
      <bottom style="thin">
        <color indexed="21"/>
      </bottom>
      <diagonal/>
    </border>
    <border>
      <left/>
      <right/>
      <top style="thin">
        <color indexed="21"/>
      </top>
      <bottom/>
      <diagonal/>
    </border>
    <border>
      <left/>
      <right style="thin">
        <color indexed="13"/>
      </right>
      <top style="thin">
        <color indexed="21"/>
      </top>
      <bottom/>
      <diagonal/>
    </border>
    <border>
      <left/>
      <right/>
      <top/>
      <bottom style="hair">
        <color indexed="19"/>
      </bottom>
      <diagonal/>
    </border>
    <border>
      <left/>
      <right style="thin">
        <color indexed="13"/>
      </right>
      <top/>
      <bottom style="hair">
        <color indexed="19"/>
      </bottom>
      <diagonal/>
    </border>
    <border>
      <left/>
      <right style="hair">
        <color indexed="19"/>
      </right>
      <top/>
      <bottom/>
      <diagonal/>
    </border>
    <border>
      <left style="hair">
        <color indexed="19"/>
      </left>
      <right style="hair">
        <color indexed="19"/>
      </right>
      <top style="hair">
        <color indexed="19"/>
      </top>
      <bottom style="thin">
        <color indexed="21"/>
      </bottom>
      <diagonal/>
    </border>
    <border>
      <left style="thin">
        <color indexed="13"/>
      </left>
      <right/>
      <top/>
      <bottom style="thin">
        <color indexed="13"/>
      </bottom>
      <diagonal/>
    </border>
    <border>
      <left style="thin">
        <color indexed="13"/>
      </left>
      <right/>
      <top/>
      <bottom style="medium">
        <color indexed="14"/>
      </bottom>
      <diagonal/>
    </border>
    <border>
      <left style="thin">
        <color indexed="13"/>
      </left>
      <right/>
      <top style="medium">
        <color indexed="14"/>
      </top>
      <bottom/>
      <diagonal/>
    </border>
    <border>
      <left style="thin">
        <color indexed="13"/>
      </left>
      <right style="thin">
        <color indexed="12"/>
      </right>
      <top/>
      <bottom/>
      <diagonal/>
    </border>
    <border>
      <left style="thin">
        <color indexed="12"/>
      </left>
      <right style="thin">
        <color indexed="12"/>
      </right>
      <top/>
      <bottom/>
      <diagonal/>
    </border>
    <border>
      <left style="thin">
        <color indexed="13"/>
      </left>
      <right style="hair">
        <color indexed="19"/>
      </right>
      <top/>
      <bottom style="hair">
        <color indexed="19"/>
      </bottom>
      <diagonal/>
    </border>
    <border>
      <left style="hair">
        <color indexed="19"/>
      </left>
      <right style="hair">
        <color indexed="19"/>
      </right>
      <top/>
      <bottom style="thin">
        <color indexed="21"/>
      </bottom>
      <diagonal/>
    </border>
    <border>
      <left style="hair">
        <color indexed="19"/>
      </left>
      <right style="hair">
        <color indexed="19"/>
      </right>
      <top/>
      <bottom style="hair">
        <color indexed="19"/>
      </bottom>
      <diagonal/>
    </border>
    <border>
      <left style="hair">
        <color indexed="19"/>
      </left>
      <right style="thin">
        <color indexed="21"/>
      </right>
      <top style="hair">
        <color indexed="19"/>
      </top>
      <bottom style="hair">
        <color indexed="19"/>
      </bottom>
      <diagonal/>
    </border>
    <border>
      <left style="thin">
        <color indexed="21"/>
      </left>
      <right style="hair">
        <color indexed="19"/>
      </right>
      <top style="thin">
        <color indexed="21"/>
      </top>
      <bottom style="thin">
        <color indexed="21"/>
      </bottom>
      <diagonal/>
    </border>
    <border>
      <left style="hair">
        <color indexed="19"/>
      </left>
      <right style="hair">
        <color indexed="19"/>
      </right>
      <top style="hair">
        <color indexed="19"/>
      </top>
      <bottom style="hair">
        <color indexed="19"/>
      </bottom>
      <diagonal/>
    </border>
    <border>
      <left style="thin">
        <color indexed="13"/>
      </left>
      <right/>
      <top style="hair">
        <color indexed="19"/>
      </top>
      <bottom/>
      <diagonal/>
    </border>
    <border>
      <left/>
      <right/>
      <top style="hair">
        <color indexed="19"/>
      </top>
      <bottom/>
      <diagonal/>
    </border>
    <border>
      <left/>
      <right style="thin">
        <color indexed="13"/>
      </right>
      <top style="hair">
        <color indexed="19"/>
      </top>
      <bottom/>
      <diagonal/>
    </border>
    <border>
      <left/>
      <right/>
      <top style="medium">
        <color indexed="14"/>
      </top>
      <bottom style="thin">
        <color indexed="21"/>
      </bottom>
      <diagonal/>
    </border>
    <border>
      <left/>
      <right style="thin">
        <color indexed="13"/>
      </right>
      <top style="medium">
        <color indexed="14"/>
      </top>
      <bottom style="thin">
        <color indexed="21"/>
      </bottom>
      <diagonal/>
    </border>
    <border>
      <left/>
      <right/>
      <top style="thin">
        <color indexed="21"/>
      </top>
      <bottom style="thin">
        <color indexed="21"/>
      </bottom>
      <diagonal/>
    </border>
    <border>
      <left/>
      <right style="thin">
        <color indexed="13"/>
      </right>
      <top style="thin">
        <color indexed="21"/>
      </top>
      <bottom style="thin">
        <color indexed="21"/>
      </bottom>
      <diagonal/>
    </border>
    <border>
      <left/>
      <right/>
      <top style="thin">
        <color indexed="19"/>
      </top>
      <bottom style="hair">
        <color indexed="19"/>
      </bottom>
      <diagonal/>
    </border>
    <border>
      <left style="hair">
        <color indexed="19"/>
      </left>
      <right/>
      <top/>
      <bottom/>
      <diagonal/>
    </border>
    <border>
      <left style="thin">
        <color indexed="21"/>
      </left>
      <right style="thin">
        <color indexed="21"/>
      </right>
      <top style="thin">
        <color indexed="21"/>
      </top>
      <bottom style="hair">
        <color indexed="19"/>
      </bottom>
      <diagonal/>
    </border>
    <border>
      <left/>
      <right/>
      <top/>
      <bottom style="thin">
        <color indexed="18"/>
      </bottom>
      <diagonal/>
    </border>
    <border>
      <left/>
      <right style="hair">
        <color indexed="19"/>
      </right>
      <top style="thin">
        <color indexed="18"/>
      </top>
      <bottom/>
      <diagonal/>
    </border>
    <border>
      <left style="hair">
        <color indexed="19"/>
      </left>
      <right style="hair">
        <color indexed="19"/>
      </right>
      <top style="hair">
        <color indexed="19"/>
      </top>
      <bottom style="thin">
        <color indexed="18"/>
      </bottom>
      <diagonal/>
    </border>
    <border>
      <left style="hair">
        <color indexed="19"/>
      </left>
      <right style="hair">
        <color indexed="19"/>
      </right>
      <top style="thin">
        <color indexed="18"/>
      </top>
      <bottom style="thin">
        <color indexed="18"/>
      </bottom>
      <diagonal/>
    </border>
    <border>
      <left/>
      <right/>
      <top style="thin">
        <color indexed="18"/>
      </top>
      <bottom style="hair">
        <color indexed="19"/>
      </bottom>
      <diagonal/>
    </border>
    <border>
      <left style="hair">
        <color indexed="19"/>
      </left>
      <right style="thin">
        <color indexed="21"/>
      </right>
      <top style="hair">
        <color indexed="19"/>
      </top>
      <bottom style="thin">
        <color indexed="21"/>
      </bottom>
      <diagonal/>
    </border>
    <border>
      <left style="thin">
        <color indexed="13"/>
      </left>
      <right/>
      <top style="thin">
        <color indexed="21"/>
      </top>
      <bottom/>
      <diagonal/>
    </border>
  </borders>
  <cellStyleXfs count="1">
    <xf numFmtId="0" fontId="0" applyNumberFormat="0" applyFont="1" applyFill="0" applyBorder="0" applyAlignment="1" applyProtection="0">
      <alignment vertical="bottom"/>
    </xf>
  </cellStyleXfs>
  <cellXfs count="19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49" fontId="6" fillId="4" borderId="5" applyNumberFormat="1"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7" fillId="4" borderId="5" applyNumberFormat="1" applyFont="1" applyFill="1" applyBorder="1" applyAlignment="1" applyProtection="0">
      <alignment horizontal="left" vertical="center" wrapText="1"/>
    </xf>
    <xf numFmtId="1" fontId="7" fillId="4" borderId="5" applyNumberFormat="1" applyFont="1" applyFill="1" applyBorder="1" applyAlignment="1" applyProtection="0">
      <alignment horizontal="left" vertical="center" wrapText="1"/>
    </xf>
    <xf numFmtId="1" fontId="7" fillId="4" borderId="6" applyNumberFormat="1" applyFont="1" applyFill="1" applyBorder="1" applyAlignment="1" applyProtection="0">
      <alignment horizontal="left" vertical="center" wrapText="1"/>
    </xf>
    <xf numFmtId="49" fontId="8" fillId="4" borderId="5" applyNumberFormat="1" applyFont="1" applyFill="1" applyBorder="1" applyAlignment="1" applyProtection="0">
      <alignment horizontal="left" vertical="center" wrapText="1"/>
    </xf>
    <xf numFmtId="1" fontId="8" fillId="4" borderId="5" applyNumberFormat="1" applyFont="1" applyFill="1" applyBorder="1" applyAlignment="1" applyProtection="0">
      <alignment horizontal="left" vertical="center" wrapText="1"/>
    </xf>
    <xf numFmtId="1" fontId="8" fillId="4" borderId="6" applyNumberFormat="1" applyFont="1" applyFill="1" applyBorder="1" applyAlignment="1" applyProtection="0">
      <alignment horizontal="left" vertical="center" wrapText="1"/>
    </xf>
    <xf numFmtId="1" fontId="0" fillId="4" borderId="7" applyNumberFormat="1" applyFont="1" applyFill="1" applyBorder="1" applyAlignment="1" applyProtection="0">
      <alignment vertical="bottom"/>
    </xf>
    <xf numFmtId="1" fontId="0" fillId="4" borderId="8" applyNumberFormat="1" applyFont="1" applyFill="1" applyBorder="1" applyAlignment="1" applyProtection="0">
      <alignment vertical="bottom"/>
    </xf>
    <xf numFmtId="49" fontId="9" fillId="5" borderId="9" applyNumberFormat="1" applyFont="1" applyFill="1" applyBorder="1" applyAlignment="1" applyProtection="0">
      <alignment vertical="bottom"/>
    </xf>
    <xf numFmtId="49" fontId="9" fillId="5" borderId="10" applyNumberFormat="1" applyFont="1" applyFill="1" applyBorder="1" applyAlignment="1" applyProtection="0">
      <alignment vertical="bottom"/>
    </xf>
    <xf numFmtId="49" fontId="10" fillId="5" borderId="5" applyNumberFormat="1" applyFont="1" applyFill="1" applyBorder="1" applyAlignment="1" applyProtection="0">
      <alignment vertical="top"/>
    </xf>
    <xf numFmtId="49" fontId="10" fillId="5" borderId="6" applyNumberFormat="1" applyFont="1" applyFill="1" applyBorder="1" applyAlignment="1" applyProtection="0">
      <alignment vertical="top"/>
    </xf>
    <xf numFmtId="49" fontId="11" fillId="4" borderId="5" applyNumberFormat="1" applyFont="1" applyFill="1" applyBorder="1" applyAlignment="1" applyProtection="0">
      <alignment horizontal="left" vertical="top" wrapText="1"/>
    </xf>
    <xf numFmtId="49" fontId="12" fillId="4" borderId="5" applyNumberFormat="1" applyFont="1" applyFill="1" applyBorder="1" applyAlignment="1" applyProtection="0">
      <alignment horizontal="left" vertical="top" wrapText="1"/>
    </xf>
    <xf numFmtId="1" fontId="12" fillId="4" borderId="5" applyNumberFormat="1" applyFont="1" applyFill="1" applyBorder="1" applyAlignment="1" applyProtection="0">
      <alignment horizontal="left" vertical="top" wrapText="1"/>
    </xf>
    <xf numFmtId="1" fontId="12" fillId="4" borderId="6" applyNumberFormat="1" applyFont="1" applyFill="1" applyBorder="1" applyAlignment="1" applyProtection="0">
      <alignment horizontal="left" vertical="top" wrapText="1"/>
    </xf>
    <xf numFmtId="1" fontId="0" fillId="4" borderId="11" applyNumberFormat="1" applyFont="1" applyFill="1" applyBorder="1" applyAlignment="1" applyProtection="0">
      <alignment vertical="bottom"/>
    </xf>
    <xf numFmtId="1" fontId="0" fillId="4" borderId="12" applyNumberFormat="1" applyFont="1" applyFill="1" applyBorder="1" applyAlignment="1" applyProtection="0">
      <alignment vertical="bottom"/>
    </xf>
    <xf numFmtId="49" fontId="11" fillId="4" borderId="13" applyNumberFormat="1" applyFont="1" applyFill="1" applyBorder="1" applyAlignment="1" applyProtection="0">
      <alignment horizontal="left" vertical="top" wrapText="1"/>
    </xf>
    <xf numFmtId="49" fontId="12" fillId="4" borderId="13" applyNumberFormat="1" applyFont="1" applyFill="1" applyBorder="1" applyAlignment="1" applyProtection="0">
      <alignment horizontal="left" vertical="top" wrapText="1"/>
    </xf>
    <xf numFmtId="1" fontId="12" fillId="4" borderId="13" applyNumberFormat="1" applyFont="1" applyFill="1" applyBorder="1" applyAlignment="1" applyProtection="0">
      <alignment horizontal="left" vertical="top" wrapText="1"/>
    </xf>
    <xf numFmtId="1" fontId="12" fillId="4" borderId="14" applyNumberFormat="1" applyFont="1" applyFill="1" applyBorder="1" applyAlignment="1" applyProtection="0">
      <alignment horizontal="left" vertical="top" wrapText="1"/>
    </xf>
    <xf numFmtId="0" fontId="0" fillId="4" borderId="13" applyNumberFormat="0" applyFont="1" applyFill="1" applyBorder="1" applyAlignment="1" applyProtection="0">
      <alignment vertical="bottom"/>
    </xf>
    <xf numFmtId="0" fontId="0" fillId="4" borderId="14" applyNumberFormat="0" applyFont="1" applyFill="1" applyBorder="1" applyAlignment="1" applyProtection="0">
      <alignment vertical="bottom"/>
    </xf>
    <xf numFmtId="49" fontId="13" fillId="6" borderId="5" applyNumberFormat="1" applyFont="1" applyFill="1" applyBorder="1" applyAlignment="1" applyProtection="0">
      <alignment horizontal="center" vertical="center"/>
    </xf>
    <xf numFmtId="1" fontId="13" fillId="6" borderId="5" applyNumberFormat="1" applyFont="1" applyFill="1" applyBorder="1" applyAlignment="1" applyProtection="0">
      <alignment horizontal="center" vertical="center"/>
    </xf>
    <xf numFmtId="1" fontId="13" fillId="6" borderId="6" applyNumberFormat="1" applyFont="1" applyFill="1" applyBorder="1" applyAlignment="1" applyProtection="0">
      <alignment horizontal="center" vertical="center"/>
    </xf>
    <xf numFmtId="49" fontId="11" fillId="5" borderId="5" applyNumberFormat="1" applyFont="1" applyFill="1" applyBorder="1" applyAlignment="1" applyProtection="0">
      <alignment horizontal="left" vertical="top" wrapText="1"/>
    </xf>
    <xf numFmtId="49" fontId="12" fillId="5" borderId="5" applyNumberFormat="1" applyFont="1" applyFill="1" applyBorder="1" applyAlignment="1" applyProtection="0">
      <alignment horizontal="left" vertical="top" wrapText="1"/>
    </xf>
    <xf numFmtId="1" fontId="12" fillId="5" borderId="5" applyNumberFormat="1" applyFont="1" applyFill="1" applyBorder="1" applyAlignment="1" applyProtection="0">
      <alignment horizontal="left" vertical="top" wrapText="1"/>
    </xf>
    <xf numFmtId="1" fontId="12" fillId="5" borderId="6" applyNumberFormat="1" applyFont="1" applyFill="1" applyBorder="1" applyAlignment="1" applyProtection="0">
      <alignment horizontal="left" vertical="top" wrapText="1"/>
    </xf>
    <xf numFmtId="0" fontId="0" fillId="4" borderId="15" applyNumberFormat="0" applyFont="1" applyFill="1" applyBorder="1" applyAlignment="1" applyProtection="0">
      <alignment vertical="bottom"/>
    </xf>
    <xf numFmtId="0" fontId="0" fillId="4" borderId="16" applyNumberFormat="0" applyFont="1" applyFill="1" applyBorder="1" applyAlignment="1" applyProtection="0">
      <alignment vertical="bottom"/>
    </xf>
    <xf numFmtId="0" fontId="0" fillId="4" borderId="17" applyNumberFormat="0" applyFont="1" applyFill="1" applyBorder="1" applyAlignment="1" applyProtection="0">
      <alignment vertical="bottom"/>
    </xf>
    <xf numFmtId="49" fontId="14" fillId="6" borderId="18" applyNumberFormat="1" applyFont="1" applyFill="1" applyBorder="1" applyAlignment="1" applyProtection="0">
      <alignment horizontal="center" vertical="center" wrapText="1"/>
    </xf>
    <xf numFmtId="1" fontId="14" fillId="6" borderId="18" applyNumberFormat="1" applyFont="1" applyFill="1" applyBorder="1" applyAlignment="1" applyProtection="0">
      <alignment horizontal="center" vertical="center" wrapText="1"/>
    </xf>
    <xf numFmtId="1" fontId="14" fillId="6" borderId="19" applyNumberFormat="1" applyFont="1" applyFill="1" applyBorder="1" applyAlignment="1" applyProtection="0">
      <alignment horizontal="center" vertical="center" wrapText="1"/>
    </xf>
    <xf numFmtId="0" fontId="0" fillId="4" borderId="20" applyNumberFormat="0" applyFont="1" applyFill="1" applyBorder="1" applyAlignment="1" applyProtection="0">
      <alignment vertical="bottom"/>
    </xf>
    <xf numFmtId="0" fontId="0" fillId="4" borderId="21" applyNumberFormat="0" applyFont="1" applyFill="1" applyBorder="1" applyAlignment="1" applyProtection="0">
      <alignment vertical="bottom"/>
    </xf>
    <xf numFmtId="49" fontId="15" fillId="4" borderId="5" applyNumberFormat="1" applyFont="1" applyFill="1" applyBorder="1" applyAlignment="1" applyProtection="0">
      <alignment horizontal="center" vertical="center" wrapText="1"/>
    </xf>
    <xf numFmtId="1" fontId="15" fillId="4" borderId="5" applyNumberFormat="1" applyFont="1" applyFill="1" applyBorder="1" applyAlignment="1" applyProtection="0">
      <alignment horizontal="center" vertical="center" wrapText="1"/>
    </xf>
    <xf numFmtId="1" fontId="15" fillId="4" borderId="6" applyNumberFormat="1" applyFont="1" applyFill="1" applyBorder="1" applyAlignment="1" applyProtection="0">
      <alignment horizontal="center" vertical="center" wrapText="1"/>
    </xf>
    <xf numFmtId="49" fontId="11" fillId="4" borderId="22" applyNumberFormat="1" applyFont="1" applyFill="1" applyBorder="1" applyAlignment="1" applyProtection="0">
      <alignment vertical="bottom"/>
    </xf>
    <xf numFmtId="0" fontId="0" fillId="4" borderId="23" applyNumberFormat="0" applyFont="1" applyFill="1" applyBorder="1" applyAlignment="1" applyProtection="0">
      <alignment vertical="bottom"/>
    </xf>
    <xf numFmtId="1" fontId="0" fillId="7" borderId="24" applyNumberFormat="1" applyFont="1" applyFill="1" applyBorder="1" applyAlignment="1" applyProtection="0">
      <alignment vertical="bottom"/>
    </xf>
    <xf numFmtId="49" fontId="16" fillId="4" borderId="25" applyNumberFormat="1" applyFont="1" applyFill="1" applyBorder="1" applyAlignment="1" applyProtection="0">
      <alignment vertical="center"/>
    </xf>
    <xf numFmtId="1" fontId="16" fillId="4" borderId="5" applyNumberFormat="1" applyFont="1" applyFill="1" applyBorder="1" applyAlignment="1" applyProtection="0">
      <alignment vertical="center"/>
    </xf>
    <xf numFmtId="1" fontId="16" fillId="4" borderId="6" applyNumberFormat="1" applyFont="1" applyFill="1" applyBorder="1" applyAlignment="1" applyProtection="0">
      <alignment vertical="center"/>
    </xf>
    <xf numFmtId="0" fontId="0" fillId="4" borderId="26" applyNumberFormat="0" applyFont="1" applyFill="1" applyBorder="1" applyAlignment="1" applyProtection="0">
      <alignment vertical="bottom"/>
    </xf>
    <xf numFmtId="1" fontId="0" fillId="8" borderId="27" applyNumberFormat="1" applyFont="1" applyFill="1" applyBorder="1" applyAlignment="1" applyProtection="0">
      <alignment vertical="bottom"/>
    </xf>
    <xf numFmtId="49" fontId="17" fillId="4" borderId="28" applyNumberFormat="1" applyFont="1" applyFill="1" applyBorder="1" applyAlignment="1" applyProtection="0">
      <alignment vertical="center"/>
    </xf>
    <xf numFmtId="1" fontId="17" fillId="4" borderId="5" applyNumberFormat="1" applyFont="1" applyFill="1" applyBorder="1" applyAlignment="1" applyProtection="0">
      <alignment vertical="center"/>
    </xf>
    <xf numFmtId="1" fontId="17" fillId="4" borderId="6" applyNumberFormat="1" applyFont="1" applyFill="1" applyBorder="1" applyAlignment="1" applyProtection="0">
      <alignment vertical="center"/>
    </xf>
    <xf numFmtId="0" fontId="0" fillId="4" borderId="29" applyNumberFormat="0" applyFont="1" applyFill="1" applyBorder="1" applyAlignment="1" applyProtection="0">
      <alignment vertical="bottom"/>
    </xf>
    <xf numFmtId="1" fontId="0" fillId="4" borderId="27" applyNumberFormat="1" applyFont="1" applyFill="1" applyBorder="1" applyAlignment="1" applyProtection="0">
      <alignment vertical="bottom"/>
    </xf>
    <xf numFmtId="49" fontId="8" fillId="4" borderId="30" applyNumberFormat="1" applyFont="1" applyFill="1" applyBorder="1" applyAlignment="1" applyProtection="0">
      <alignment vertical="center"/>
    </xf>
    <xf numFmtId="1" fontId="8" fillId="4" borderId="31" applyNumberFormat="1" applyFont="1" applyFill="1" applyBorder="1" applyAlignment="1" applyProtection="0">
      <alignment vertical="center"/>
    </xf>
    <xf numFmtId="1" fontId="8" fillId="4" borderId="32" applyNumberFormat="1" applyFont="1" applyFill="1" applyBorder="1" applyAlignment="1" applyProtection="0">
      <alignment vertical="center"/>
    </xf>
    <xf numFmtId="0" fontId="0" applyNumberFormat="1" applyFont="1" applyFill="0" applyBorder="0" applyAlignment="1" applyProtection="0">
      <alignment vertical="bottom"/>
    </xf>
    <xf numFmtId="49" fontId="18" fillId="4" borderId="5" applyNumberFormat="1" applyFont="1" applyFill="1" applyBorder="1" applyAlignment="1" applyProtection="0">
      <alignment vertical="bottom"/>
    </xf>
    <xf numFmtId="49" fontId="8" fillId="4" borderId="5" applyNumberFormat="1" applyFont="1" applyFill="1" applyBorder="1" applyAlignment="1" applyProtection="0">
      <alignment vertical="bottom"/>
    </xf>
    <xf numFmtId="0" fontId="0" fillId="4" borderId="9" applyNumberFormat="0" applyFont="1" applyFill="1" applyBorder="1" applyAlignment="1" applyProtection="0">
      <alignment vertical="bottom"/>
    </xf>
    <xf numFmtId="0" fontId="0" fillId="4" borderId="10" applyNumberFormat="0" applyFont="1" applyFill="1" applyBorder="1" applyAlignment="1" applyProtection="0">
      <alignment vertical="bottom"/>
    </xf>
    <xf numFmtId="49" fontId="14" fillId="4" borderId="11" applyNumberFormat="1" applyFont="1" applyFill="1" applyBorder="1" applyAlignment="1" applyProtection="0">
      <alignment vertical="center"/>
    </xf>
    <xf numFmtId="0" fontId="0" fillId="4" borderId="33" applyNumberFormat="0" applyFont="1" applyFill="1" applyBorder="1" applyAlignment="1" applyProtection="0">
      <alignment vertical="bottom"/>
    </xf>
    <xf numFmtId="0" fontId="0" fillId="4" borderId="34" applyNumberFormat="0" applyFont="1" applyFill="1" applyBorder="1" applyAlignment="1" applyProtection="0">
      <alignment vertical="bottom"/>
    </xf>
    <xf numFmtId="49" fontId="19" fillId="4" borderId="35" applyNumberFormat="1" applyFont="1" applyFill="1" applyBorder="1" applyAlignment="1" applyProtection="0">
      <alignment vertical="center"/>
    </xf>
    <xf numFmtId="49" fontId="12" fillId="7" borderId="36" applyNumberFormat="1" applyFont="1" applyFill="1" applyBorder="1" applyAlignment="1" applyProtection="0">
      <alignment vertical="center"/>
    </xf>
    <xf numFmtId="1" fontId="12" fillId="7" borderId="36" applyNumberFormat="1" applyFont="1" applyFill="1" applyBorder="1" applyAlignment="1" applyProtection="0">
      <alignment vertical="center"/>
    </xf>
    <xf numFmtId="1" fontId="12" fillId="7" borderId="36" applyNumberFormat="1" applyFont="1" applyFill="1" applyBorder="1" applyAlignment="1" applyProtection="0">
      <alignment horizontal="left" vertical="center"/>
    </xf>
    <xf numFmtId="49" fontId="15" fillId="4" borderId="37" applyNumberFormat="1" applyFont="1" applyFill="1" applyBorder="1" applyAlignment="1" applyProtection="0">
      <alignment vertical="bottom"/>
    </xf>
    <xf numFmtId="1" fontId="15" fillId="4" borderId="37" applyNumberFormat="1" applyFont="1" applyFill="1" applyBorder="1" applyAlignment="1" applyProtection="0">
      <alignment vertical="bottom"/>
    </xf>
    <xf numFmtId="1" fontId="15" fillId="4" borderId="38" applyNumberFormat="1" applyFont="1" applyFill="1" applyBorder="1" applyAlignment="1" applyProtection="0">
      <alignment vertical="bottom"/>
    </xf>
    <xf numFmtId="49" fontId="20" fillId="9" borderId="5" applyNumberFormat="1" applyFont="1" applyFill="1" applyBorder="1" applyAlignment="1" applyProtection="0">
      <alignment vertical="center"/>
    </xf>
    <xf numFmtId="49" fontId="20" fillId="9" borderId="39" applyNumberFormat="1" applyFont="1" applyFill="1" applyBorder="1" applyAlignment="1" applyProtection="0">
      <alignment vertical="center"/>
    </xf>
    <xf numFmtId="1" fontId="20" fillId="9" borderId="40" applyNumberFormat="1" applyFont="1" applyFill="1" applyBorder="1" applyAlignment="1" applyProtection="0">
      <alignment vertical="center"/>
    </xf>
    <xf numFmtId="49" fontId="21" fillId="6" borderId="5" applyNumberFormat="1" applyFont="1" applyFill="1" applyBorder="1" applyAlignment="1" applyProtection="0">
      <alignment horizontal="center" vertical="center"/>
    </xf>
    <xf numFmtId="49" fontId="12" fillId="4" borderId="41" applyNumberFormat="1" applyFont="1" applyFill="1" applyBorder="1" applyAlignment="1" applyProtection="0">
      <alignment horizontal="left" vertical="center" wrapText="1"/>
    </xf>
    <xf numFmtId="49" fontId="12" fillId="4" borderId="42" applyNumberFormat="1" applyFont="1" applyFill="1" applyBorder="1" applyAlignment="1" applyProtection="0">
      <alignment horizontal="left" vertical="center" wrapText="1"/>
    </xf>
    <xf numFmtId="1" fontId="12" fillId="4" borderId="42" applyNumberFormat="1" applyFont="1" applyFill="1" applyBorder="1" applyAlignment="1" applyProtection="0">
      <alignment horizontal="left" vertical="center" wrapText="1"/>
    </xf>
    <xf numFmtId="49" fontId="12" fillId="4" borderId="35" applyNumberFormat="1" applyFont="1" applyFill="1" applyBorder="1" applyAlignment="1" applyProtection="0">
      <alignment horizontal="left" vertical="center" wrapText="1"/>
    </xf>
    <xf numFmtId="49" fontId="12" fillId="7" borderId="36" applyNumberFormat="1" applyFont="1" applyFill="1" applyBorder="1" applyAlignment="1" applyProtection="0">
      <alignment horizontal="left" vertical="center" wrapText="1"/>
    </xf>
    <xf numFmtId="1" fontId="12" fillId="7" borderId="36" applyNumberFormat="1" applyFont="1" applyFill="1" applyBorder="1" applyAlignment="1" applyProtection="0">
      <alignment horizontal="left" vertical="center" wrapText="1"/>
    </xf>
    <xf numFmtId="0" fontId="0" fillId="4" borderId="37" applyNumberFormat="0" applyFont="1" applyFill="1" applyBorder="1" applyAlignment="1" applyProtection="0">
      <alignment vertical="bottom"/>
    </xf>
    <xf numFmtId="0" fontId="0" fillId="4" borderId="38" applyNumberFormat="0" applyFont="1" applyFill="1" applyBorder="1" applyAlignment="1" applyProtection="0">
      <alignment vertical="bottom"/>
    </xf>
    <xf numFmtId="1" fontId="14" fillId="4" borderId="5" applyNumberFormat="1" applyFont="1" applyFill="1" applyBorder="1" applyAlignment="1" applyProtection="0">
      <alignment horizontal="right" vertical="center"/>
    </xf>
    <xf numFmtId="49" fontId="12" fillId="4" borderId="5" applyNumberFormat="1" applyFont="1" applyFill="1" applyBorder="1" applyAlignment="1" applyProtection="0">
      <alignment horizontal="left" vertical="center" wrapText="1"/>
    </xf>
    <xf numFmtId="1" fontId="12" fillId="4" borderId="5" applyNumberFormat="1" applyFont="1" applyFill="1" applyBorder="1" applyAlignment="1" applyProtection="0">
      <alignment horizontal="left" vertical="center" wrapText="1"/>
    </xf>
    <xf numFmtId="1" fontId="12" fillId="4" borderId="6" applyNumberFormat="1" applyFont="1" applyFill="1" applyBorder="1" applyAlignment="1" applyProtection="0">
      <alignment horizontal="left" vertical="center" wrapText="1"/>
    </xf>
    <xf numFmtId="1" fontId="14" fillId="5" borderId="5" applyNumberFormat="1" applyFont="1" applyFill="1" applyBorder="1" applyAlignment="1" applyProtection="0">
      <alignment horizontal="right" vertical="center"/>
    </xf>
    <xf numFmtId="49" fontId="12" fillId="5" borderId="5" applyNumberFormat="1" applyFont="1" applyFill="1" applyBorder="1" applyAlignment="1" applyProtection="0">
      <alignment horizontal="left" vertical="center" wrapText="1"/>
    </xf>
    <xf numFmtId="1" fontId="12" fillId="5" borderId="5" applyNumberFormat="1" applyFont="1" applyFill="1" applyBorder="1" applyAlignment="1" applyProtection="0">
      <alignment horizontal="left" vertical="center" wrapText="1"/>
    </xf>
    <xf numFmtId="1" fontId="12" fillId="5" borderId="6" applyNumberFormat="1" applyFont="1" applyFill="1" applyBorder="1" applyAlignment="1" applyProtection="0">
      <alignment horizontal="left" vertical="center" wrapText="1"/>
    </xf>
    <xf numFmtId="49" fontId="17" fillId="6" borderId="5" applyNumberFormat="1" applyFont="1" applyFill="1" applyBorder="1" applyAlignment="1" applyProtection="0">
      <alignment horizontal="left" vertical="center" wrapText="1"/>
    </xf>
    <xf numFmtId="0" fontId="0" fillId="4" borderId="43" applyNumberFormat="0" applyFont="1" applyFill="1" applyBorder="1" applyAlignment="1" applyProtection="0">
      <alignment vertical="bottom"/>
    </xf>
    <xf numFmtId="49" fontId="22" fillId="5" borderId="31" applyNumberFormat="1" applyFont="1" applyFill="1" applyBorder="1" applyAlignment="1" applyProtection="0">
      <alignment horizontal="left" vertical="center" wrapText="1"/>
    </xf>
    <xf numFmtId="1" fontId="22" fillId="5" borderId="31" applyNumberFormat="1" applyFont="1" applyFill="1" applyBorder="1" applyAlignment="1" applyProtection="0">
      <alignment horizontal="left" vertical="center" wrapText="1"/>
    </xf>
    <xf numFmtId="1" fontId="22" fillId="5" borderId="32"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49" fontId="18" fillId="4" borderId="4" applyNumberFormat="1" applyFont="1" applyFill="1" applyBorder="1" applyAlignment="1" applyProtection="0">
      <alignment vertical="bottom"/>
    </xf>
    <xf numFmtId="49" fontId="8" fillId="4" borderId="4" applyNumberFormat="1" applyFont="1" applyFill="1" applyBorder="1" applyAlignment="1" applyProtection="0">
      <alignment vertical="bottom"/>
    </xf>
    <xf numFmtId="1" fontId="0" fillId="4" borderId="44" applyNumberFormat="1" applyFont="1" applyFill="1" applyBorder="1" applyAlignment="1" applyProtection="0">
      <alignment vertical="bottom"/>
    </xf>
    <xf numFmtId="49" fontId="23" fillId="4" borderId="45" applyNumberFormat="1" applyFont="1" applyFill="1" applyBorder="1" applyAlignment="1" applyProtection="0">
      <alignment vertical="bottom"/>
    </xf>
    <xf numFmtId="49" fontId="24" fillId="9" borderId="46" applyNumberFormat="1" applyFont="1" applyFill="1" applyBorder="1" applyAlignment="1" applyProtection="0">
      <alignment horizontal="center" vertical="center"/>
    </xf>
    <xf numFmtId="1" fontId="24" fillId="9" borderId="47" applyNumberFormat="1" applyFont="1" applyFill="1" applyBorder="1" applyAlignment="1" applyProtection="0">
      <alignment horizontal="center" vertical="center"/>
    </xf>
    <xf numFmtId="49" fontId="24" fillId="10" borderId="47" applyNumberFormat="1" applyFont="1" applyFill="1" applyBorder="1" applyAlignment="1" applyProtection="0">
      <alignment horizontal="center" vertical="center"/>
    </xf>
    <xf numFmtId="1" fontId="24" fillId="10" borderId="47" applyNumberFormat="1" applyFont="1" applyFill="1" applyBorder="1" applyAlignment="1" applyProtection="0">
      <alignment horizontal="center" vertical="center"/>
    </xf>
    <xf numFmtId="49" fontId="24" fillId="11" borderId="47" applyNumberFormat="1" applyFont="1" applyFill="1" applyBorder="1" applyAlignment="1" applyProtection="0">
      <alignment horizontal="center" vertical="center"/>
    </xf>
    <xf numFmtId="1" fontId="24" fillId="11" borderId="47" applyNumberFormat="1" applyFont="1" applyFill="1" applyBorder="1" applyAlignment="1" applyProtection="0">
      <alignment horizontal="center" vertical="center"/>
    </xf>
    <xf numFmtId="49" fontId="25" fillId="5" borderId="48" applyNumberFormat="1" applyFont="1" applyFill="1" applyBorder="1" applyAlignment="1" applyProtection="0">
      <alignment horizontal="left" vertical="center" wrapText="1"/>
    </xf>
    <xf numFmtId="49" fontId="25" fillId="5" borderId="49" applyNumberFormat="1" applyFont="1" applyFill="1" applyBorder="1" applyAlignment="1" applyProtection="0">
      <alignment horizontal="left" vertical="center" wrapText="1"/>
    </xf>
    <xf numFmtId="49" fontId="25" fillId="5" borderId="50" applyNumberFormat="1" applyFont="1" applyFill="1" applyBorder="1" applyAlignment="1" applyProtection="0">
      <alignment horizontal="left" vertical="center" wrapText="1"/>
    </xf>
    <xf numFmtId="49" fontId="22" fillId="5" borderId="51" applyNumberFormat="1" applyFont="1" applyFill="1" applyBorder="1" applyAlignment="1" applyProtection="0">
      <alignment vertical="center"/>
    </xf>
    <xf numFmtId="59" fontId="16" fillId="7" borderId="36" applyNumberFormat="1" applyFont="1" applyFill="1" applyBorder="1" applyAlignment="1" applyProtection="0">
      <alignment horizontal="center" vertical="center" wrapText="1"/>
    </xf>
    <xf numFmtId="60" fontId="16" fillId="7" borderId="36" applyNumberFormat="1" applyFont="1" applyFill="1" applyBorder="1" applyAlignment="1" applyProtection="0">
      <alignment horizontal="center" vertical="center" wrapText="1"/>
    </xf>
    <xf numFmtId="61" fontId="16" fillId="7" borderId="36" applyNumberFormat="1" applyFont="1" applyFill="1" applyBorder="1" applyAlignment="1" applyProtection="0">
      <alignment horizontal="center" vertical="center" wrapText="1"/>
    </xf>
    <xf numFmtId="49" fontId="16" fillId="7" borderId="36" applyNumberFormat="1" applyFont="1" applyFill="1" applyBorder="1" applyAlignment="1" applyProtection="0">
      <alignment horizontal="left" vertical="center" wrapText="1"/>
    </xf>
    <xf numFmtId="49" fontId="16" fillId="7" borderId="36" applyNumberFormat="1" applyFont="1" applyFill="1" applyBorder="1" applyAlignment="1" applyProtection="0">
      <alignment horizontal="center" vertical="center" wrapText="1"/>
    </xf>
    <xf numFmtId="0" fontId="16" fillId="7" borderId="36" applyNumberFormat="0" applyFont="1" applyFill="1" applyBorder="1" applyAlignment="1" applyProtection="0">
      <alignment horizontal="left" vertical="center" wrapText="1"/>
    </xf>
    <xf numFmtId="1" fontId="16" fillId="7" borderId="36" applyNumberFormat="1" applyFont="1" applyFill="1" applyBorder="1" applyAlignment="1" applyProtection="0">
      <alignment horizontal="center" vertical="center" wrapText="1"/>
    </xf>
    <xf numFmtId="49" fontId="16" fillId="7" borderId="52" applyNumberFormat="1" applyFont="1" applyFill="1" applyBorder="1" applyAlignment="1" applyProtection="0">
      <alignment horizontal="left" vertical="center" wrapText="1"/>
    </xf>
    <xf numFmtId="1" fontId="22" fillId="12" borderId="53" applyNumberFormat="1" applyFont="1" applyFill="1" applyBorder="1" applyAlignment="1" applyProtection="0">
      <alignment horizontal="left" vertical="center" wrapText="1"/>
    </xf>
    <xf numFmtId="62" fontId="16" fillId="7" borderId="36" applyNumberFormat="1" applyFont="1" applyFill="1" applyBorder="1" applyAlignment="1" applyProtection="0">
      <alignment horizontal="center" vertical="center" wrapText="1"/>
    </xf>
    <xf numFmtId="1" fontId="16" fillId="7" borderId="36" applyNumberFormat="1" applyFont="1" applyFill="1" applyBorder="1" applyAlignment="1" applyProtection="0">
      <alignment horizontal="left" vertical="center" wrapText="1"/>
    </xf>
    <xf numFmtId="0" fontId="16" fillId="7" borderId="36" applyNumberFormat="0" applyFont="1" applyFill="1" applyBorder="1" applyAlignment="1" applyProtection="0">
      <alignment horizontal="center" vertical="center" wrapText="1"/>
    </xf>
    <xf numFmtId="1" fontId="16" fillId="7" borderId="52" applyNumberFormat="1" applyFont="1" applyFill="1" applyBorder="1" applyAlignment="1" applyProtection="0">
      <alignment horizontal="left" vertical="center" wrapText="1"/>
    </xf>
    <xf numFmtId="0" fontId="0" fillId="4" borderId="54" applyNumberFormat="0" applyFont="1" applyFill="1" applyBorder="1" applyAlignment="1" applyProtection="0">
      <alignment vertical="bottom"/>
    </xf>
    <xf numFmtId="0" fontId="0" fillId="4" borderId="55" applyNumberFormat="0" applyFont="1" applyFill="1" applyBorder="1" applyAlignment="1" applyProtection="0">
      <alignment vertical="bottom"/>
    </xf>
    <xf numFmtId="0" fontId="0" fillId="4" borderId="56" applyNumberFormat="0" applyFont="1" applyFill="1" applyBorder="1" applyAlignment="1" applyProtection="0">
      <alignment vertical="bottom"/>
    </xf>
    <xf numFmtId="49" fontId="23" fillId="4" borderId="43" applyNumberFormat="1" applyFont="1" applyFill="1" applyBorder="1" applyAlignment="1" applyProtection="0">
      <alignment horizontal="left" vertical="center" wrapText="1"/>
    </xf>
    <xf numFmtId="1" fontId="23" fillId="4" borderId="31" applyNumberFormat="1" applyFont="1" applyFill="1" applyBorder="1" applyAlignment="1" applyProtection="0">
      <alignment horizontal="left" vertical="center" wrapText="1"/>
    </xf>
    <xf numFmtId="1" fontId="23" fillId="4" borderId="32"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0" fontId="0" fillId="4" borderId="57" applyNumberFormat="0" applyFont="1" applyFill="1" applyBorder="1" applyAlignment="1" applyProtection="0">
      <alignment vertical="bottom"/>
    </xf>
    <xf numFmtId="0" fontId="0" fillId="4" borderId="58" applyNumberFormat="0" applyFont="1" applyFill="1" applyBorder="1" applyAlignment="1" applyProtection="0">
      <alignment vertical="bottom"/>
    </xf>
    <xf numFmtId="49" fontId="19" fillId="4" borderId="35" applyNumberFormat="1" applyFont="1" applyFill="1" applyBorder="1" applyAlignment="1" applyProtection="0">
      <alignment vertical="bottom"/>
    </xf>
    <xf numFmtId="1" fontId="10" fillId="7" borderId="36" applyNumberFormat="1" applyFont="1" applyFill="1" applyBorder="1" applyAlignment="1" applyProtection="0">
      <alignment vertical="center"/>
    </xf>
    <xf numFmtId="49" fontId="22" fillId="4" borderId="35" applyNumberFormat="1" applyFont="1" applyFill="1" applyBorder="1" applyAlignment="1" applyProtection="0">
      <alignment horizontal="left" vertical="top" wrapText="1"/>
    </xf>
    <xf numFmtId="1" fontId="12" fillId="7" borderId="36" applyNumberFormat="1" applyFont="1" applyFill="1" applyBorder="1" applyAlignment="1" applyProtection="0">
      <alignment horizontal="left" vertical="top" wrapText="1"/>
    </xf>
    <xf numFmtId="49" fontId="15" fillId="4" borderId="59" applyNumberFormat="1" applyFont="1" applyFill="1" applyBorder="1" applyAlignment="1" applyProtection="0">
      <alignment horizontal="left" vertical="top" wrapText="1"/>
    </xf>
    <xf numFmtId="1" fontId="15" fillId="4" borderId="59" applyNumberFormat="1" applyFont="1" applyFill="1" applyBorder="1" applyAlignment="1" applyProtection="0">
      <alignment horizontal="left" vertical="top" wrapText="1"/>
    </xf>
    <xf numFmtId="1" fontId="15" fillId="4" borderId="60" applyNumberFormat="1" applyFont="1" applyFill="1" applyBorder="1" applyAlignment="1" applyProtection="0">
      <alignment horizontal="left" vertical="top" wrapText="1"/>
    </xf>
    <xf numFmtId="49" fontId="15" fillId="4" borderId="37" applyNumberFormat="1" applyFont="1" applyFill="1" applyBorder="1" applyAlignment="1" applyProtection="0">
      <alignment horizontal="left" vertical="top" wrapText="1"/>
    </xf>
    <xf numFmtId="1" fontId="15" fillId="4" borderId="37" applyNumberFormat="1" applyFont="1" applyFill="1" applyBorder="1" applyAlignment="1" applyProtection="0">
      <alignment horizontal="left" vertical="top" wrapText="1"/>
    </xf>
    <xf numFmtId="1" fontId="15" fillId="4" borderId="38" applyNumberFormat="1" applyFont="1" applyFill="1" applyBorder="1" applyAlignment="1" applyProtection="0">
      <alignment horizontal="left" vertical="top" wrapText="1"/>
    </xf>
    <xf numFmtId="49" fontId="13" fillId="6" borderId="31" applyNumberFormat="1" applyFont="1" applyFill="1" applyBorder="1" applyAlignment="1" applyProtection="0">
      <alignment horizontal="center" vertical="center"/>
    </xf>
    <xf numFmtId="1" fontId="13" fillId="6" borderId="31" applyNumberFormat="1" applyFont="1" applyFill="1" applyBorder="1" applyAlignment="1" applyProtection="0">
      <alignment horizontal="center" vertical="center"/>
    </xf>
    <xf numFmtId="1" fontId="13" fillId="6" borderId="32"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0" fontId="0" fillId="4" borderId="61" applyNumberFormat="0" applyFont="1" applyFill="1" applyBorder="1" applyAlignment="1" applyProtection="0">
      <alignment vertical="bottom"/>
    </xf>
    <xf numFmtId="49" fontId="19" fillId="4" borderId="41" applyNumberFormat="1" applyFont="1" applyFill="1" applyBorder="1" applyAlignment="1" applyProtection="0">
      <alignment vertical="center"/>
    </xf>
    <xf numFmtId="1" fontId="14" fillId="8" borderId="53" applyNumberFormat="1" applyFont="1" applyFill="1" applyBorder="1" applyAlignment="1" applyProtection="0">
      <alignment horizontal="right" vertical="center"/>
    </xf>
    <xf numFmtId="0" fontId="0" fillId="4" borderId="62" applyNumberFormat="0" applyFont="1" applyFill="1" applyBorder="1" applyAlignment="1" applyProtection="0">
      <alignment vertical="bottom"/>
    </xf>
    <xf numFmtId="49" fontId="15" fillId="4" borderId="5" applyNumberFormat="1" applyFont="1" applyFill="1" applyBorder="1" applyAlignment="1" applyProtection="0">
      <alignment horizontal="left" vertical="center" wrapText="1"/>
    </xf>
    <xf numFmtId="1" fontId="15" fillId="4" borderId="6" applyNumberFormat="1" applyFont="1" applyFill="1" applyBorder="1" applyAlignment="1" applyProtection="0">
      <alignment horizontal="left" vertical="center" wrapText="1"/>
    </xf>
    <xf numFmtId="1" fontId="14" fillId="8" borderId="42" applyNumberFormat="1" applyFont="1" applyFill="1" applyBorder="1" applyAlignment="1" applyProtection="0">
      <alignment horizontal="right" vertical="center"/>
    </xf>
    <xf numFmtId="1" fontId="12" fillId="7" borderId="63" applyNumberFormat="1" applyFont="1" applyFill="1" applyBorder="1" applyAlignment="1" applyProtection="0">
      <alignment horizontal="right" vertical="center"/>
    </xf>
    <xf numFmtId="0" fontId="0" fillId="4" borderId="25" applyNumberFormat="0" applyFont="1" applyFill="1" applyBorder="1" applyAlignment="1" applyProtection="0">
      <alignment vertical="bottom"/>
    </xf>
    <xf numFmtId="63" fontId="14" fillId="8" borderId="53" applyNumberFormat="1" applyFont="1" applyFill="1" applyBorder="1" applyAlignment="1" applyProtection="0">
      <alignment horizontal="right" vertical="center"/>
    </xf>
    <xf numFmtId="0" fontId="14" fillId="8" borderId="53" applyNumberFormat="0" applyFont="1" applyFill="1" applyBorder="1" applyAlignment="1" applyProtection="0">
      <alignment horizontal="right" vertical="center"/>
    </xf>
    <xf numFmtId="49" fontId="25" fillId="5" borderId="64" applyNumberFormat="1" applyFont="1" applyFill="1" applyBorder="1" applyAlignment="1" applyProtection="0">
      <alignment vertical="bottom"/>
    </xf>
    <xf numFmtId="49" fontId="25" fillId="5" borderId="39" applyNumberFormat="1" applyFont="1" applyFill="1" applyBorder="1" applyAlignment="1" applyProtection="0">
      <alignment horizontal="right" vertical="bottom"/>
    </xf>
    <xf numFmtId="49" fontId="19" fillId="4" borderId="65" applyNumberFormat="1" applyFont="1" applyFill="1" applyBorder="1" applyAlignment="1" applyProtection="0">
      <alignment vertical="center"/>
    </xf>
    <xf numFmtId="49" fontId="19" fillId="5" borderId="41" applyNumberFormat="1" applyFont="1" applyFill="1" applyBorder="1" applyAlignment="1" applyProtection="0">
      <alignment vertical="center"/>
    </xf>
    <xf numFmtId="1" fontId="14" fillId="8" borderId="66" applyNumberFormat="1" applyFont="1" applyFill="1" applyBorder="1" applyAlignment="1" applyProtection="0">
      <alignment horizontal="right" vertical="center"/>
    </xf>
    <xf numFmtId="49" fontId="12" fillId="4" borderId="41" applyNumberFormat="1" applyFont="1" applyFill="1" applyBorder="1" applyAlignment="1" applyProtection="0">
      <alignment vertical="bottom"/>
    </xf>
    <xf numFmtId="1" fontId="14" fillId="8" borderId="67" applyNumberFormat="1" applyFont="1" applyFill="1" applyBorder="1" applyAlignment="1" applyProtection="0">
      <alignment horizontal="right" vertical="center"/>
    </xf>
    <xf numFmtId="0" fontId="0" fillId="4" borderId="68" applyNumberFormat="0" applyFont="1" applyFill="1" applyBorder="1" applyAlignment="1" applyProtection="0">
      <alignment vertical="bottom"/>
    </xf>
    <xf numFmtId="49" fontId="8" fillId="4" borderId="41" applyNumberFormat="1" applyFont="1" applyFill="1" applyBorder="1" applyAlignment="1" applyProtection="0">
      <alignment vertical="bottom"/>
    </xf>
    <xf numFmtId="1" fontId="26" fillId="8" borderId="53" applyNumberFormat="1" applyFont="1" applyFill="1" applyBorder="1" applyAlignment="1" applyProtection="0">
      <alignment horizontal="right" vertical="center"/>
    </xf>
    <xf numFmtId="49" fontId="23" fillId="4" borderId="31"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49" fontId="11" fillId="6" borderId="45" applyNumberFormat="1" applyFont="1" applyFill="1" applyBorder="1" applyAlignment="1" applyProtection="0">
      <alignment horizontal="left" vertical="center" wrapText="1"/>
    </xf>
    <xf numFmtId="1" fontId="11" fillId="6" borderId="9" applyNumberFormat="1" applyFont="1" applyFill="1" applyBorder="1" applyAlignment="1" applyProtection="0">
      <alignment horizontal="left" vertical="center" wrapText="1"/>
    </xf>
    <xf numFmtId="1" fontId="11" fillId="6" borderId="10" applyNumberFormat="1" applyFont="1" applyFill="1" applyBorder="1" applyAlignment="1" applyProtection="0">
      <alignment horizontal="left" vertical="center" wrapText="1"/>
    </xf>
    <xf numFmtId="49" fontId="22" fillId="5" borderId="69" applyNumberFormat="1" applyFont="1" applyFill="1" applyBorder="1" applyAlignment="1" applyProtection="0">
      <alignment vertical="center"/>
    </xf>
    <xf numFmtId="1" fontId="0" fillId="7" borderId="36" applyNumberFormat="1" applyFont="1" applyFill="1" applyBorder="1" applyAlignment="1" applyProtection="0">
      <alignment vertical="center"/>
    </xf>
    <xf numFmtId="0" fontId="0" fillId="4" borderId="70"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1f6f6b"/>
      <rgbColor rgb="ff1c1c1e"/>
      <rgbColor rgb="ff6e6e73"/>
      <rgbColor rgb="fff5f5f7"/>
      <rgbColor rgb="ff3a3a3c"/>
      <rgbColor rgb="ffd8d8dc"/>
      <rgbColor rgb="ffeaf1f0"/>
      <rgbColor rgb="ffe2d7c1"/>
      <rgbColor rgb="fffffaf0"/>
      <rgbColor rgb="ffeff3f3"/>
      <rgbColor rgb="fff3f5f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44</v>
      </c>
      <c r="C11" s="3"/>
      <c r="D11" s="3"/>
    </row>
    <row r="12">
      <c r="B12" s="4"/>
      <c r="C12" t="s" s="4">
        <v>5</v>
      </c>
      <c r="D12" t="s" s="5">
        <v>44</v>
      </c>
    </row>
    <row r="13">
      <c r="B13" t="s" s="3">
        <v>113</v>
      </c>
      <c r="C13" s="3"/>
      <c r="D13" s="3"/>
    </row>
    <row r="14">
      <c r="B14" s="4"/>
      <c r="C14" t="s" s="4">
        <v>5</v>
      </c>
      <c r="D14" t="s" s="5">
        <v>113</v>
      </c>
    </row>
    <row r="15">
      <c r="B15" t="s" s="3">
        <v>179</v>
      </c>
      <c r="C15" s="3"/>
      <c r="D15" s="3"/>
    </row>
    <row r="16">
      <c r="B16" s="4"/>
      <c r="C16" t="s" s="4">
        <v>5</v>
      </c>
      <c r="D16" t="s" s="5">
        <v>179</v>
      </c>
    </row>
    <row r="17">
      <c r="B17" t="s" s="3">
        <v>217</v>
      </c>
      <c r="C17" s="3"/>
      <c r="D17" s="3"/>
    </row>
    <row r="18">
      <c r="B18" s="4"/>
      <c r="C18" t="s" s="4">
        <v>5</v>
      </c>
      <c r="D18" t="s" s="5">
        <v>217</v>
      </c>
    </row>
    <row r="19">
      <c r="B19" t="s" s="3">
        <v>257</v>
      </c>
      <c r="C19" s="3"/>
      <c r="D19" s="3"/>
    </row>
    <row r="20">
      <c r="B20" s="4"/>
      <c r="C20" t="s" s="4">
        <v>5</v>
      </c>
      <c r="D20" t="s" s="5">
        <v>257</v>
      </c>
    </row>
  </sheetData>
  <mergeCells count="1">
    <mergeCell ref="B3:D3"/>
  </mergeCells>
  <hyperlinks>
    <hyperlink ref="D10" location="'PROJECT OVERVIEW'!R1C1" tooltip="" display="PROJECT OVERVIEW"/>
    <hyperlink ref="D12" location="'TEST PLAN'!R1C1" tooltip="" display="TEST PLAN"/>
    <hyperlink ref="D14" location="'FIELD LOG'!R1C1" tooltip="" display="FIELD LOG"/>
    <hyperlink ref="D16" location="'RUN DETAIL'!R1C1" tooltip="" display="RUN DETAIL"/>
    <hyperlink ref="D18" location="'SUMMARY'!R1C1" tooltip="" display="SUMMARY"/>
    <hyperlink ref="D20" location="'TEST ITERATIONS'!R1C1" tooltip="" display="TEST ITERATIONS"/>
  </hyperlinks>
</worksheet>
</file>

<file path=xl/worksheets/sheet2.xml><?xml version="1.0" encoding="utf-8"?>
<worksheet xmlns:r="http://schemas.openxmlformats.org/officeDocument/2006/relationships" xmlns="http://schemas.openxmlformats.org/spreadsheetml/2006/main">
  <sheetPr>
    <pageSetUpPr fitToPage="1"/>
  </sheetPr>
  <dimension ref="A1:E36"/>
  <sheetViews>
    <sheetView workbookViewId="0" showGridLines="0" defaultGridColor="1"/>
  </sheetViews>
  <sheetFormatPr defaultColWidth="8.66667" defaultRowHeight="15" customHeight="1" outlineLevelRow="0" outlineLevelCol="0"/>
  <cols>
    <col min="1" max="1" width="3" style="6" customWidth="1"/>
    <col min="2" max="2" width="30" style="6" customWidth="1"/>
    <col min="3" max="3" width="32" style="6" customWidth="1"/>
    <col min="4" max="4" width="28" style="6" customWidth="1"/>
    <col min="5" max="5" width="22" style="6" customWidth="1"/>
    <col min="6" max="16384" width="8.67188" style="6" customWidth="1"/>
  </cols>
  <sheetData>
    <row r="1" ht="13.55" customHeight="1">
      <c r="A1" s="7"/>
      <c r="B1" s="8"/>
      <c r="C1" s="8"/>
      <c r="D1" s="8"/>
      <c r="E1" s="9"/>
    </row>
    <row r="2" ht="18" customHeight="1">
      <c r="A2" s="10"/>
      <c r="B2" t="s" s="11">
        <v>6</v>
      </c>
      <c r="C2" s="12"/>
      <c r="D2" s="12"/>
      <c r="E2" s="13"/>
    </row>
    <row r="3" ht="48" customHeight="1">
      <c r="A3" s="10"/>
      <c r="B3" t="s" s="14">
        <v>7</v>
      </c>
      <c r="C3" s="15"/>
      <c r="D3" s="15"/>
      <c r="E3" s="16"/>
    </row>
    <row r="4" ht="15.75" customHeight="1">
      <c r="A4" s="10"/>
      <c r="B4" t="s" s="17">
        <v>8</v>
      </c>
      <c r="C4" s="18"/>
      <c r="D4" s="18"/>
      <c r="E4" s="19"/>
    </row>
    <row r="5" ht="8" customHeight="1">
      <c r="A5" s="10"/>
      <c r="B5" s="20"/>
      <c r="C5" s="20"/>
      <c r="D5" s="20"/>
      <c r="E5" s="21"/>
    </row>
    <row r="6" ht="15.75" customHeight="1">
      <c r="A6" s="10"/>
      <c r="B6" t="s" s="22">
        <v>9</v>
      </c>
      <c r="C6" t="s" s="22">
        <v>10</v>
      </c>
      <c r="D6" t="s" s="22">
        <v>11</v>
      </c>
      <c r="E6" t="s" s="23">
        <v>12</v>
      </c>
    </row>
    <row r="7" ht="21.75" customHeight="1">
      <c r="A7" s="10"/>
      <c r="B7" t="s" s="24">
        <v>13</v>
      </c>
      <c r="C7" t="s" s="24">
        <v>14</v>
      </c>
      <c r="D7" t="s" s="24">
        <v>15</v>
      </c>
      <c r="E7" t="s" s="25">
        <v>16</v>
      </c>
    </row>
    <row r="8" ht="9.75" customHeight="1">
      <c r="A8" s="10"/>
      <c r="B8" s="12"/>
      <c r="C8" s="12"/>
      <c r="D8" s="12"/>
      <c r="E8" s="13"/>
    </row>
    <row r="9" ht="30" customHeight="1">
      <c r="A9" s="10"/>
      <c r="B9" t="s" s="26">
        <v>17</v>
      </c>
      <c r="C9" t="s" s="27">
        <v>18</v>
      </c>
      <c r="D9" s="28"/>
      <c r="E9" s="29"/>
    </row>
    <row r="10" ht="8" customHeight="1">
      <c r="A10" s="10"/>
      <c r="B10" s="30"/>
      <c r="C10" s="30"/>
      <c r="D10" s="30"/>
      <c r="E10" s="31"/>
    </row>
    <row r="11" ht="69" customHeight="1">
      <c r="A11" s="10"/>
      <c r="B11" t="s" s="32">
        <v>19</v>
      </c>
      <c r="C11" t="s" s="33">
        <v>20</v>
      </c>
      <c r="D11" s="34"/>
      <c r="E11" s="35"/>
    </row>
    <row r="12" ht="8" customHeight="1">
      <c r="A12" s="10"/>
      <c r="B12" s="30"/>
      <c r="C12" s="30"/>
      <c r="D12" s="30"/>
      <c r="E12" s="31"/>
    </row>
    <row r="13" ht="42.75" customHeight="1">
      <c r="A13" s="10"/>
      <c r="B13" t="s" s="32">
        <v>21</v>
      </c>
      <c r="C13" t="s" s="33">
        <v>22</v>
      </c>
      <c r="D13" s="34"/>
      <c r="E13" s="35"/>
    </row>
    <row r="14" ht="8" customHeight="1">
      <c r="A14" s="10"/>
      <c r="B14" s="30"/>
      <c r="C14" s="30"/>
      <c r="D14" s="30"/>
      <c r="E14" s="31"/>
    </row>
    <row r="15" ht="30" customHeight="1">
      <c r="A15" s="10"/>
      <c r="B15" t="s" s="32">
        <v>23</v>
      </c>
      <c r="C15" t="s" s="33">
        <v>24</v>
      </c>
      <c r="D15" s="34"/>
      <c r="E15" s="35"/>
    </row>
    <row r="16" ht="8" customHeight="1">
      <c r="A16" s="10"/>
      <c r="B16" s="30"/>
      <c r="C16" s="30"/>
      <c r="D16" s="30"/>
      <c r="E16" s="31"/>
    </row>
    <row r="17" ht="81.75" customHeight="1">
      <c r="A17" s="10"/>
      <c r="B17" t="s" s="32">
        <v>25</v>
      </c>
      <c r="C17" t="s" s="33">
        <v>26</v>
      </c>
      <c r="D17" s="34"/>
      <c r="E17" s="35"/>
    </row>
    <row r="18" ht="8" customHeight="1">
      <c r="A18" s="10"/>
      <c r="B18" s="30"/>
      <c r="C18" s="30"/>
      <c r="D18" s="30"/>
      <c r="E18" s="31"/>
    </row>
    <row r="19" ht="69" customHeight="1">
      <c r="A19" s="10"/>
      <c r="B19" t="s" s="32">
        <v>27</v>
      </c>
      <c r="C19" t="s" s="33">
        <v>28</v>
      </c>
      <c r="D19" s="34"/>
      <c r="E19" s="35"/>
    </row>
    <row r="20" ht="8" customHeight="1">
      <c r="A20" s="10"/>
      <c r="B20" s="30"/>
      <c r="C20" s="30"/>
      <c r="D20" s="30"/>
      <c r="E20" s="31"/>
    </row>
    <row r="21" ht="94.5" customHeight="1">
      <c r="A21" s="10"/>
      <c r="B21" t="s" s="32">
        <v>29</v>
      </c>
      <c r="C21" t="s" s="33">
        <v>30</v>
      </c>
      <c r="D21" s="34"/>
      <c r="E21" s="35"/>
    </row>
    <row r="22" ht="8" customHeight="1">
      <c r="A22" s="10"/>
      <c r="B22" s="30"/>
      <c r="C22" s="30"/>
      <c r="D22" s="30"/>
      <c r="E22" s="31"/>
    </row>
    <row r="23" ht="13.55" customHeight="1">
      <c r="A23" s="10"/>
      <c r="B23" s="36"/>
      <c r="C23" s="36"/>
      <c r="D23" s="36"/>
      <c r="E23" s="37"/>
    </row>
    <row r="24" ht="25.5" customHeight="1">
      <c r="A24" s="10"/>
      <c r="B24" t="s" s="38">
        <v>31</v>
      </c>
      <c r="C24" s="39"/>
      <c r="D24" s="39"/>
      <c r="E24" s="40"/>
    </row>
    <row r="25" ht="45" customHeight="1">
      <c r="A25" s="10"/>
      <c r="B25" t="s" s="41">
        <v>32</v>
      </c>
      <c r="C25" t="s" s="42">
        <v>33</v>
      </c>
      <c r="D25" s="43"/>
      <c r="E25" s="44"/>
    </row>
    <row r="26" ht="45" customHeight="1">
      <c r="A26" s="10"/>
      <c r="B26" t="s" s="41">
        <v>34</v>
      </c>
      <c r="C26" t="s" s="42">
        <v>35</v>
      </c>
      <c r="D26" s="43"/>
      <c r="E26" s="44"/>
    </row>
    <row r="27" ht="45" customHeight="1">
      <c r="A27" s="10"/>
      <c r="B27" t="s" s="41">
        <v>36</v>
      </c>
      <c r="C27" t="s" s="42">
        <v>37</v>
      </c>
      <c r="D27" s="43"/>
      <c r="E27" s="44"/>
    </row>
    <row r="28" ht="13.55" customHeight="1">
      <c r="A28" s="10"/>
      <c r="B28" s="45"/>
      <c r="C28" s="45"/>
      <c r="D28" s="45"/>
      <c r="E28" s="46"/>
    </row>
    <row r="29" ht="45.75" customHeight="1">
      <c r="A29" s="47"/>
      <c r="B29" t="s" s="48">
        <v>38</v>
      </c>
      <c r="C29" s="49"/>
      <c r="D29" s="49"/>
      <c r="E29" s="50"/>
    </row>
    <row r="30" ht="13.55" customHeight="1">
      <c r="A30" s="10"/>
      <c r="B30" s="51"/>
      <c r="C30" s="51"/>
      <c r="D30" s="51"/>
      <c r="E30" s="52"/>
    </row>
    <row r="31" ht="27.75" customHeight="1">
      <c r="A31" s="10"/>
      <c r="B31" t="s" s="53">
        <v>39</v>
      </c>
      <c r="C31" s="54"/>
      <c r="D31" s="54"/>
      <c r="E31" s="55"/>
    </row>
    <row r="32" ht="13.55" customHeight="1">
      <c r="A32" s="10"/>
      <c r="B32" s="12"/>
      <c r="C32" s="12"/>
      <c r="D32" s="12"/>
      <c r="E32" s="13"/>
    </row>
    <row r="33" ht="13.55" customHeight="1">
      <c r="A33" s="10"/>
      <c r="B33" t="s" s="56">
        <v>40</v>
      </c>
      <c r="C33" s="12"/>
      <c r="D33" s="12"/>
      <c r="E33" s="13"/>
    </row>
    <row r="34" ht="18" customHeight="1">
      <c r="A34" s="57"/>
      <c r="B34" s="58"/>
      <c r="C34" t="s" s="59">
        <v>41</v>
      </c>
      <c r="D34" s="60"/>
      <c r="E34" s="61"/>
    </row>
    <row r="35" ht="18" customHeight="1">
      <c r="A35" s="62"/>
      <c r="B35" s="63"/>
      <c r="C35" t="s" s="64">
        <v>42</v>
      </c>
      <c r="D35" s="65"/>
      <c r="E35" s="66"/>
    </row>
    <row r="36" ht="18" customHeight="1">
      <c r="A36" s="67"/>
      <c r="B36" s="68"/>
      <c r="C36" t="s" s="69">
        <v>43</v>
      </c>
      <c r="D36" s="70"/>
      <c r="E36" s="71"/>
    </row>
  </sheetData>
  <mergeCells count="18">
    <mergeCell ref="B3:E3"/>
    <mergeCell ref="B4:E4"/>
    <mergeCell ref="C9:E9"/>
    <mergeCell ref="C11:E11"/>
    <mergeCell ref="C13:E13"/>
    <mergeCell ref="C15:E15"/>
    <mergeCell ref="C17:E17"/>
    <mergeCell ref="C19:E19"/>
    <mergeCell ref="C21:E21"/>
    <mergeCell ref="B24:E24"/>
    <mergeCell ref="C25:E25"/>
    <mergeCell ref="C26:E26"/>
    <mergeCell ref="C27:E27"/>
    <mergeCell ref="B29:E29"/>
    <mergeCell ref="B31:E31"/>
    <mergeCell ref="C34:E34"/>
    <mergeCell ref="C35:E35"/>
    <mergeCell ref="C36:E36"/>
  </mergeCells>
  <pageMargins left="0.4" right="0.4" top="0.5" bottom="0.5" header="0.511811" footer="0.5"/>
  <pageSetup firstPageNumber="1" fitToHeight="1" fitToWidth="1" scale="100" useFirstPageNumber="0" orientation="landscape" pageOrder="downThenOver"/>
  <headerFooter>
    <oddFooter>&amp;R&amp;"Calibri,Regular"&amp;11&amp;K000000&amp;8&amp;P / &amp;N</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56"/>
  <sheetViews>
    <sheetView workbookViewId="0" showGridLines="0" defaultGridColor="1"/>
  </sheetViews>
  <sheetFormatPr defaultColWidth="8.66667" defaultRowHeight="15" customHeight="1" outlineLevelRow="0" outlineLevelCol="0"/>
  <cols>
    <col min="1" max="1" width="3" style="72" customWidth="1"/>
    <col min="2" max="2" width="30" style="72" customWidth="1"/>
    <col min="3" max="3" width="34" style="72" customWidth="1"/>
    <col min="4" max="4" width="28" style="72" customWidth="1"/>
    <col min="5" max="5" width="22" style="72" customWidth="1"/>
    <col min="6" max="16384" width="8.67188" style="72" customWidth="1"/>
  </cols>
  <sheetData>
    <row r="1" ht="13.55" customHeight="1">
      <c r="A1" s="7"/>
      <c r="B1" s="8"/>
      <c r="C1" s="8"/>
      <c r="D1" s="8"/>
      <c r="E1" s="9"/>
    </row>
    <row r="2" ht="25.5" customHeight="1">
      <c r="A2" s="10"/>
      <c r="B2" t="s" s="73">
        <v>45</v>
      </c>
      <c r="C2" s="12"/>
      <c r="D2" s="12"/>
      <c r="E2" s="13"/>
    </row>
    <row r="3" ht="15.75" customHeight="1">
      <c r="A3" s="10"/>
      <c r="B3" t="s" s="74">
        <v>46</v>
      </c>
      <c r="C3" s="12"/>
      <c r="D3" s="12"/>
      <c r="E3" s="13"/>
    </row>
    <row r="4" ht="8" customHeight="1">
      <c r="A4" s="10"/>
      <c r="B4" s="20"/>
      <c r="C4" s="20"/>
      <c r="D4" s="20"/>
      <c r="E4" s="21"/>
    </row>
    <row r="5" ht="14.05" customHeight="1">
      <c r="A5" s="10"/>
      <c r="B5" s="75"/>
      <c r="C5" s="75"/>
      <c r="D5" s="75"/>
      <c r="E5" s="76"/>
    </row>
    <row r="6" ht="21.75" customHeight="1">
      <c r="A6" s="10"/>
      <c r="B6" t="s" s="77">
        <v>47</v>
      </c>
      <c r="C6" s="30"/>
      <c r="D6" s="30"/>
      <c r="E6" s="31"/>
    </row>
    <row r="7" ht="13.55" customHeight="1">
      <c r="A7" s="10"/>
      <c r="B7" s="36"/>
      <c r="C7" s="78"/>
      <c r="D7" s="78"/>
      <c r="E7" s="79"/>
    </row>
    <row r="8" ht="19.5" customHeight="1">
      <c r="A8" s="10"/>
      <c r="B8" t="s" s="80">
        <v>48</v>
      </c>
      <c r="C8" t="s" s="81">
        <v>49</v>
      </c>
      <c r="D8" s="82"/>
      <c r="E8" s="82"/>
    </row>
    <row r="9" ht="19.5" customHeight="1">
      <c r="A9" s="10"/>
      <c r="B9" t="s" s="80">
        <v>50</v>
      </c>
      <c r="C9" s="83">
        <v>27</v>
      </c>
      <c r="D9" s="82"/>
      <c r="E9" s="82"/>
    </row>
    <row r="10" ht="19.5" customHeight="1">
      <c r="A10" s="10"/>
      <c r="B10" t="s" s="80">
        <v>51</v>
      </c>
      <c r="C10" t="s" s="81">
        <v>52</v>
      </c>
      <c r="D10" s="82"/>
      <c r="E10" s="82"/>
    </row>
    <row r="11" ht="19.5" customHeight="1">
      <c r="A11" s="10"/>
      <c r="B11" t="s" s="80">
        <v>53</v>
      </c>
      <c r="C11" t="s" s="81">
        <v>54</v>
      </c>
      <c r="D11" s="82"/>
      <c r="E11" s="82"/>
    </row>
    <row r="12" ht="19.5" customHeight="1">
      <c r="A12" s="10"/>
      <c r="B12" t="s" s="80">
        <v>55</v>
      </c>
      <c r="C12" t="s" s="81">
        <v>54</v>
      </c>
      <c r="D12" s="82"/>
      <c r="E12" s="82"/>
    </row>
    <row r="13" ht="19.5" customHeight="1">
      <c r="A13" s="10"/>
      <c r="B13" t="s" s="80">
        <v>56</v>
      </c>
      <c r="C13" t="s" s="81">
        <v>57</v>
      </c>
      <c r="D13" s="82"/>
      <c r="E13" s="82"/>
    </row>
    <row r="14" ht="19.5" customHeight="1">
      <c r="A14" s="10"/>
      <c r="B14" t="s" s="80">
        <v>58</v>
      </c>
      <c r="C14" t="s" s="81">
        <v>57</v>
      </c>
      <c r="D14" s="82"/>
      <c r="E14" s="82"/>
    </row>
    <row r="15" ht="19.5" customHeight="1">
      <c r="A15" s="10"/>
      <c r="B15" t="s" s="80">
        <v>59</v>
      </c>
      <c r="C15" s="83"/>
      <c r="D15" s="82"/>
      <c r="E15" s="82"/>
    </row>
    <row r="16" ht="19.5" customHeight="1">
      <c r="A16" s="10"/>
      <c r="B16" t="s" s="80">
        <v>60</v>
      </c>
      <c r="C16" t="s" s="81">
        <v>61</v>
      </c>
      <c r="D16" s="82"/>
      <c r="E16" s="82"/>
    </row>
    <row r="17" ht="19.5" customHeight="1">
      <c r="A17" s="10"/>
      <c r="B17" t="s" s="80">
        <v>62</v>
      </c>
      <c r="C17" t="s" s="81">
        <v>63</v>
      </c>
      <c r="D17" s="82"/>
      <c r="E17" s="82"/>
    </row>
    <row r="18" ht="19.5" customHeight="1">
      <c r="A18" s="10"/>
      <c r="B18" t="s" s="80">
        <v>64</v>
      </c>
      <c r="C18" t="s" s="81">
        <v>65</v>
      </c>
      <c r="D18" s="82"/>
      <c r="E18" s="82"/>
    </row>
    <row r="19" ht="19.5" customHeight="1">
      <c r="A19" s="10"/>
      <c r="B19" t="s" s="80">
        <v>66</v>
      </c>
      <c r="C19" t="s" s="81">
        <v>67</v>
      </c>
      <c r="D19" s="82"/>
      <c r="E19" s="82"/>
    </row>
    <row r="20" ht="19.5" customHeight="1">
      <c r="A20" s="10"/>
      <c r="B20" t="s" s="80">
        <v>68</v>
      </c>
      <c r="C20" s="83">
        <v>80</v>
      </c>
      <c r="D20" s="82"/>
      <c r="E20" s="82"/>
    </row>
    <row r="21" ht="19.5" customHeight="1">
      <c r="A21" s="10"/>
      <c r="B21" t="s" s="80">
        <v>69</v>
      </c>
      <c r="C21" s="82"/>
      <c r="D21" s="82"/>
      <c r="E21" s="82"/>
    </row>
    <row r="22" ht="15.75" customHeight="1">
      <c r="A22" s="10"/>
      <c r="B22" s="12"/>
      <c r="C22" t="s" s="84">
        <v>70</v>
      </c>
      <c r="D22" s="85"/>
      <c r="E22" s="86"/>
    </row>
    <row r="23" ht="13.55" customHeight="1">
      <c r="A23" s="10"/>
      <c r="B23" s="12"/>
      <c r="C23" s="12"/>
      <c r="D23" s="12"/>
      <c r="E23" s="13"/>
    </row>
    <row r="24" ht="21.75" customHeight="1">
      <c r="A24" s="10"/>
      <c r="B24" t="s" s="77">
        <v>71</v>
      </c>
      <c r="C24" s="30"/>
      <c r="D24" s="30"/>
      <c r="E24" s="31"/>
    </row>
    <row r="25" ht="13.55" customHeight="1">
      <c r="A25" s="10"/>
      <c r="B25" s="36"/>
      <c r="C25" s="36"/>
      <c r="D25" s="36"/>
      <c r="E25" s="37"/>
    </row>
    <row r="26" ht="21.75" customHeight="1">
      <c r="A26" s="10"/>
      <c r="B26" t="s" s="87">
        <v>72</v>
      </c>
      <c r="C26" t="s" s="87">
        <v>73</v>
      </c>
      <c r="D26" t="s" s="88">
        <v>74</v>
      </c>
      <c r="E26" s="89"/>
    </row>
    <row r="27" ht="33.75" customHeight="1">
      <c r="A27" s="10"/>
      <c r="B27" t="s" s="90">
        <v>75</v>
      </c>
      <c r="C27" t="s" s="91">
        <v>76</v>
      </c>
      <c r="D27" t="s" s="92">
        <v>77</v>
      </c>
      <c r="E27" s="93"/>
    </row>
    <row r="28" ht="33.75" customHeight="1">
      <c r="A28" s="10"/>
      <c r="B28" t="s" s="90">
        <v>78</v>
      </c>
      <c r="C28" t="s" s="94">
        <v>79</v>
      </c>
      <c r="D28" t="s" s="95">
        <v>80</v>
      </c>
      <c r="E28" s="96"/>
    </row>
    <row r="29" ht="33.75" customHeight="1">
      <c r="A29" s="10"/>
      <c r="B29" t="s" s="90">
        <v>81</v>
      </c>
      <c r="C29" t="s" s="94">
        <v>82</v>
      </c>
      <c r="D29" t="s" s="95">
        <v>83</v>
      </c>
      <c r="E29" s="96"/>
    </row>
    <row r="30" ht="33.75" customHeight="1">
      <c r="A30" s="10"/>
      <c r="B30" t="s" s="90">
        <v>84</v>
      </c>
      <c r="C30" t="s" s="94">
        <v>85</v>
      </c>
      <c r="D30" t="s" s="95">
        <v>86</v>
      </c>
      <c r="E30" s="96"/>
    </row>
    <row r="31" ht="33.75" customHeight="1">
      <c r="A31" s="10"/>
      <c r="B31" t="s" s="90">
        <v>87</v>
      </c>
      <c r="C31" t="s" s="94">
        <v>88</v>
      </c>
      <c r="D31" t="s" s="95">
        <v>89</v>
      </c>
      <c r="E31" s="96"/>
    </row>
    <row r="32" ht="13.55" customHeight="1">
      <c r="A32" s="10"/>
      <c r="B32" s="12"/>
      <c r="C32" s="12"/>
      <c r="D32" s="97"/>
      <c r="E32" s="98"/>
    </row>
    <row r="33" ht="21.75" customHeight="1">
      <c r="A33" s="10"/>
      <c r="B33" t="s" s="77">
        <v>90</v>
      </c>
      <c r="C33" s="30"/>
      <c r="D33" s="30"/>
      <c r="E33" s="31"/>
    </row>
    <row r="34" ht="13.55" customHeight="1">
      <c r="A34" s="10"/>
      <c r="B34" s="36"/>
      <c r="C34" s="36"/>
      <c r="D34" s="36"/>
      <c r="E34" s="37"/>
    </row>
    <row r="35" ht="34.5" customHeight="1">
      <c r="A35" s="10"/>
      <c r="B35" s="99">
        <v>1</v>
      </c>
      <c r="C35" t="s" s="100">
        <v>91</v>
      </c>
      <c r="D35" s="101"/>
      <c r="E35" s="102"/>
    </row>
    <row r="36" ht="21" customHeight="1">
      <c r="A36" s="10"/>
      <c r="B36" s="103">
        <v>2</v>
      </c>
      <c r="C36" t="s" s="104">
        <v>92</v>
      </c>
      <c r="D36" s="105"/>
      <c r="E36" s="106"/>
    </row>
    <row r="37" ht="21" customHeight="1">
      <c r="A37" s="10"/>
      <c r="B37" s="99">
        <v>3</v>
      </c>
      <c r="C37" t="s" s="100">
        <v>93</v>
      </c>
      <c r="D37" s="101"/>
      <c r="E37" s="102"/>
    </row>
    <row r="38" ht="21" customHeight="1">
      <c r="A38" s="10"/>
      <c r="B38" s="103">
        <v>4</v>
      </c>
      <c r="C38" t="s" s="104">
        <v>94</v>
      </c>
      <c r="D38" s="105"/>
      <c r="E38" s="106"/>
    </row>
    <row r="39" ht="21" customHeight="1">
      <c r="A39" s="10"/>
      <c r="B39" s="99">
        <v>5</v>
      </c>
      <c r="C39" t="s" s="100">
        <v>95</v>
      </c>
      <c r="D39" s="101"/>
      <c r="E39" s="102"/>
    </row>
    <row r="40" ht="21" customHeight="1">
      <c r="A40" s="10"/>
      <c r="B40" s="103">
        <v>6</v>
      </c>
      <c r="C40" t="s" s="104">
        <v>96</v>
      </c>
      <c r="D40" s="105"/>
      <c r="E40" s="106"/>
    </row>
    <row r="41" ht="21" customHeight="1">
      <c r="A41" s="10"/>
      <c r="B41" s="99">
        <v>7</v>
      </c>
      <c r="C41" t="s" s="100">
        <v>97</v>
      </c>
      <c r="D41" s="101"/>
      <c r="E41" s="102"/>
    </row>
    <row r="42" ht="21" customHeight="1">
      <c r="A42" s="10"/>
      <c r="B42" s="103">
        <v>8</v>
      </c>
      <c r="C42" t="s" s="104">
        <v>98</v>
      </c>
      <c r="D42" s="105"/>
      <c r="E42" s="106"/>
    </row>
    <row r="43" ht="21" customHeight="1">
      <c r="A43" s="10"/>
      <c r="B43" s="99">
        <v>9</v>
      </c>
      <c r="C43" t="s" s="100">
        <v>99</v>
      </c>
      <c r="D43" s="101"/>
      <c r="E43" s="102"/>
    </row>
    <row r="44" ht="21" customHeight="1">
      <c r="A44" s="10"/>
      <c r="B44" s="103">
        <v>10</v>
      </c>
      <c r="C44" t="s" s="104">
        <v>100</v>
      </c>
      <c r="D44" s="105"/>
      <c r="E44" s="106"/>
    </row>
    <row r="45" ht="21" customHeight="1">
      <c r="A45" s="10"/>
      <c r="B45" s="99">
        <v>11</v>
      </c>
      <c r="C45" t="s" s="100">
        <v>101</v>
      </c>
      <c r="D45" s="101"/>
      <c r="E45" s="102"/>
    </row>
    <row r="46" ht="21" customHeight="1">
      <c r="A46" s="10"/>
      <c r="B46" s="103">
        <v>12</v>
      </c>
      <c r="C46" t="s" s="104">
        <v>102</v>
      </c>
      <c r="D46" s="105"/>
      <c r="E46" s="106"/>
    </row>
    <row r="47" ht="34.5" customHeight="1">
      <c r="A47" s="10"/>
      <c r="B47" s="99">
        <v>13</v>
      </c>
      <c r="C47" t="s" s="100">
        <v>103</v>
      </c>
      <c r="D47" s="101"/>
      <c r="E47" s="102"/>
    </row>
    <row r="48" ht="21" customHeight="1">
      <c r="A48" s="10"/>
      <c r="B48" s="103">
        <v>14</v>
      </c>
      <c r="C48" t="s" s="104">
        <v>104</v>
      </c>
      <c r="D48" s="105"/>
      <c r="E48" s="106"/>
    </row>
    <row r="49" ht="13.55" customHeight="1">
      <c r="A49" s="10"/>
      <c r="B49" s="12"/>
      <c r="C49" s="12"/>
      <c r="D49" s="12"/>
      <c r="E49" s="13"/>
    </row>
    <row r="50" ht="21.75" customHeight="1">
      <c r="A50" s="10"/>
      <c r="B50" t="s" s="77">
        <v>105</v>
      </c>
      <c r="C50" s="30"/>
      <c r="D50" s="30"/>
      <c r="E50" s="31"/>
    </row>
    <row r="51" ht="13.55" customHeight="1">
      <c r="A51" s="10"/>
      <c r="B51" s="36"/>
      <c r="C51" s="36"/>
      <c r="D51" s="36"/>
      <c r="E51" s="37"/>
    </row>
    <row r="52" ht="25.5" customHeight="1">
      <c r="A52" s="10"/>
      <c r="B52" t="s" s="107">
        <v>106</v>
      </c>
      <c r="C52" t="s" s="100">
        <v>107</v>
      </c>
      <c r="D52" s="101"/>
      <c r="E52" s="102"/>
    </row>
    <row r="53" ht="25.5" customHeight="1">
      <c r="A53" s="10"/>
      <c r="B53" t="s" s="107">
        <v>108</v>
      </c>
      <c r="C53" t="s" s="100">
        <v>109</v>
      </c>
      <c r="D53" s="101"/>
      <c r="E53" s="102"/>
    </row>
    <row r="54" ht="52.5" customHeight="1">
      <c r="A54" s="10"/>
      <c r="B54" t="s" s="107">
        <v>110</v>
      </c>
      <c r="C54" t="s" s="100">
        <v>111</v>
      </c>
      <c r="D54" s="101"/>
      <c r="E54" s="102"/>
    </row>
    <row r="55" ht="13.55" customHeight="1">
      <c r="A55" s="10"/>
      <c r="B55" s="12"/>
      <c r="C55" s="12"/>
      <c r="D55" s="12"/>
      <c r="E55" s="13"/>
    </row>
    <row r="56" ht="31.5" customHeight="1">
      <c r="A56" s="108"/>
      <c r="B56" t="s" s="109">
        <v>112</v>
      </c>
      <c r="C56" s="110"/>
      <c r="D56" s="110"/>
      <c r="E56" s="111"/>
    </row>
  </sheetData>
  <mergeCells count="39">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D26:E26"/>
    <mergeCell ref="D27:E27"/>
    <mergeCell ref="D28:E28"/>
    <mergeCell ref="D29:E29"/>
    <mergeCell ref="D30:E30"/>
    <mergeCell ref="D31:E31"/>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52:E52"/>
    <mergeCell ref="C53:E53"/>
    <mergeCell ref="C54:E54"/>
    <mergeCell ref="B56:E56"/>
  </mergeCells>
  <dataValidations count="3">
    <dataValidation type="list" allowBlank="1" showInputMessage="1" showErrorMessage="1" sqref="C11:C13">
      <formula1>"On,Off"</formula1>
    </dataValidation>
    <dataValidation type="list" allowBlank="1" showInputMessage="1" showErrorMessage="1" sqref="C14">
      <formula1>"None configured,Off,On"</formula1>
    </dataValidation>
    <dataValidation type="list" allowBlank="1" showInputMessage="1" showErrorMessage="1" sqref="C18">
      <formula1>"Background audio,Foreground audio,Foreground video"</formula1>
    </dataValidation>
  </dataValidations>
  <pageMargins left="0.4" right="0.4" top="0.5" bottom="0.5" header="0.511811" footer="0.5"/>
  <pageSetup firstPageNumber="1" fitToHeight="1" fitToWidth="1" scale="100" useFirstPageNumber="0" orientation="landscape" pageOrder="downThenOver"/>
  <headerFooter>
    <oddFooter>&amp;R&amp;"Calibri,Regular"&amp;11&amp;K000000&amp;8&amp;P / &amp;N</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N49"/>
  <sheetViews>
    <sheetView workbookViewId="0" showGridLines="0" defaultGridColor="1"/>
  </sheetViews>
  <sheetFormatPr defaultColWidth="8.66667" defaultRowHeight="15" customHeight="1" outlineLevelRow="0" outlineLevelCol="0"/>
  <cols>
    <col min="1" max="1" width="13" style="112" customWidth="1"/>
    <col min="2" max="2" width="12" style="112" customWidth="1"/>
    <col min="3" max="3" width="11" style="112" customWidth="1"/>
    <col min="4" max="4" width="12" style="112" customWidth="1"/>
    <col min="5" max="5" width="30" style="112" customWidth="1"/>
    <col min="6" max="6" width="13" style="112" customWidth="1"/>
    <col min="7" max="7" width="22" style="112" customWidth="1"/>
    <col min="8" max="8" width="12" style="112" customWidth="1"/>
    <col min="9" max="10" width="14" style="112" customWidth="1"/>
    <col min="11" max="11" width="22" style="112" customWidth="1"/>
    <col min="12" max="13" width="46" style="112" customWidth="1"/>
    <col min="14" max="14" width="38" style="112" customWidth="1"/>
    <col min="15" max="16384" width="8.67188" style="112" customWidth="1"/>
  </cols>
  <sheetData>
    <row r="1" ht="13.55" customHeight="1">
      <c r="A1" s="7"/>
      <c r="B1" s="8"/>
      <c r="C1" s="8"/>
      <c r="D1" s="8"/>
      <c r="E1" s="8"/>
      <c r="F1" s="8"/>
      <c r="G1" s="8"/>
      <c r="H1" s="8"/>
      <c r="I1" s="8"/>
      <c r="J1" s="8"/>
      <c r="K1" s="8"/>
      <c r="L1" s="8"/>
      <c r="M1" s="8"/>
      <c r="N1" s="9"/>
    </row>
    <row r="2" ht="25.5" customHeight="1">
      <c r="A2" t="s" s="113">
        <v>114</v>
      </c>
      <c r="B2" s="12"/>
      <c r="C2" s="12"/>
      <c r="D2" s="12"/>
      <c r="E2" s="12"/>
      <c r="F2" s="12"/>
      <c r="G2" s="12"/>
      <c r="H2" s="12"/>
      <c r="I2" s="12"/>
      <c r="J2" s="12"/>
      <c r="K2" s="12"/>
      <c r="L2" s="12"/>
      <c r="M2" s="12"/>
      <c r="N2" s="13"/>
    </row>
    <row r="3" ht="13.65" customHeight="1">
      <c r="A3" t="s" s="114">
        <v>115</v>
      </c>
      <c r="B3" s="12"/>
      <c r="C3" s="12"/>
      <c r="D3" s="12"/>
      <c r="E3" s="12"/>
      <c r="F3" s="12"/>
      <c r="G3" s="12"/>
      <c r="H3" s="12"/>
      <c r="I3" s="12"/>
      <c r="J3" s="12"/>
      <c r="K3" s="12"/>
      <c r="L3" s="12"/>
      <c r="M3" s="12"/>
      <c r="N3" s="13"/>
    </row>
    <row r="4" ht="8" customHeight="1">
      <c r="A4" s="115"/>
      <c r="B4" s="20"/>
      <c r="C4" s="20"/>
      <c r="D4" s="20"/>
      <c r="E4" s="20"/>
      <c r="F4" s="20"/>
      <c r="G4" s="20"/>
      <c r="H4" s="20"/>
      <c r="I4" s="20"/>
      <c r="J4" s="20"/>
      <c r="K4" s="20"/>
      <c r="L4" s="20"/>
      <c r="M4" s="20"/>
      <c r="N4" s="21"/>
    </row>
    <row r="5" ht="15.75" customHeight="1">
      <c r="A5" t="s" s="116">
        <v>116</v>
      </c>
      <c r="B5" s="75"/>
      <c r="C5" s="75"/>
      <c r="D5" s="75"/>
      <c r="E5" s="75"/>
      <c r="F5" s="75"/>
      <c r="G5" s="75"/>
      <c r="H5" s="75"/>
      <c r="I5" s="75"/>
      <c r="J5" s="75"/>
      <c r="K5" s="75"/>
      <c r="L5" s="75"/>
      <c r="M5" s="75"/>
      <c r="N5" s="76"/>
    </row>
    <row r="6" ht="19.5" customHeight="1">
      <c r="A6" t="s" s="117">
        <v>117</v>
      </c>
      <c r="B6" s="118"/>
      <c r="C6" s="118"/>
      <c r="D6" s="118"/>
      <c r="E6" s="118"/>
      <c r="F6" t="s" s="119">
        <v>118</v>
      </c>
      <c r="G6" s="120"/>
      <c r="H6" s="120"/>
      <c r="I6" s="120"/>
      <c r="J6" s="120"/>
      <c r="K6" s="120"/>
      <c r="L6" s="120"/>
      <c r="M6" t="s" s="121">
        <v>119</v>
      </c>
      <c r="N6" s="122"/>
    </row>
    <row r="7" ht="33.75" customHeight="1">
      <c r="A7" t="s" s="123">
        <v>120</v>
      </c>
      <c r="B7" t="s" s="124">
        <v>121</v>
      </c>
      <c r="C7" t="s" s="124">
        <v>122</v>
      </c>
      <c r="D7" t="s" s="124">
        <v>123</v>
      </c>
      <c r="E7" t="s" s="124">
        <v>124</v>
      </c>
      <c r="F7" t="s" s="124">
        <v>125</v>
      </c>
      <c r="G7" t="s" s="124">
        <v>126</v>
      </c>
      <c r="H7" t="s" s="124">
        <v>127</v>
      </c>
      <c r="I7" t="s" s="124">
        <v>128</v>
      </c>
      <c r="J7" t="s" s="124">
        <v>129</v>
      </c>
      <c r="K7" t="s" s="124">
        <v>130</v>
      </c>
      <c r="L7" t="s" s="124">
        <v>131</v>
      </c>
      <c r="M7" t="s" s="125">
        <v>132</v>
      </c>
      <c r="N7" t="s" s="125">
        <v>133</v>
      </c>
    </row>
    <row r="8" ht="62.75" customHeight="1">
      <c r="A8" t="s" s="126">
        <v>134</v>
      </c>
      <c r="B8" s="127">
        <v>46284</v>
      </c>
      <c r="C8" s="128">
        <v>46286.644444444442</v>
      </c>
      <c r="D8" s="129">
        <v>63</v>
      </c>
      <c r="E8" t="s" s="130">
        <v>135</v>
      </c>
      <c r="F8" t="s" s="131">
        <v>136</v>
      </c>
      <c r="G8" s="132"/>
      <c r="H8" s="133"/>
      <c r="I8" t="s" s="131">
        <v>137</v>
      </c>
      <c r="J8" t="s" s="131">
        <v>136</v>
      </c>
      <c r="K8" t="s" s="130">
        <v>106</v>
      </c>
      <c r="L8" t="s" s="134">
        <v>138</v>
      </c>
      <c r="M8" s="135"/>
      <c r="N8" s="135"/>
    </row>
    <row r="9" ht="63.95" customHeight="1">
      <c r="A9" t="s" s="126">
        <v>139</v>
      </c>
      <c r="B9" s="136">
        <v>46284</v>
      </c>
      <c r="C9" s="128">
        <v>46286.7625</v>
      </c>
      <c r="D9" s="129">
        <v>90</v>
      </c>
      <c r="E9" t="s" s="130">
        <v>135</v>
      </c>
      <c r="F9" t="s" s="131">
        <v>136</v>
      </c>
      <c r="G9" s="132"/>
      <c r="H9" s="133"/>
      <c r="I9" t="s" s="131">
        <v>137</v>
      </c>
      <c r="J9" t="s" s="131">
        <v>136</v>
      </c>
      <c r="K9" t="s" s="130">
        <v>106</v>
      </c>
      <c r="L9" t="s" s="134">
        <v>138</v>
      </c>
      <c r="M9" s="135"/>
      <c r="N9" s="135"/>
    </row>
    <row r="10" ht="61.85" customHeight="1">
      <c r="A10" t="s" s="126">
        <v>140</v>
      </c>
      <c r="B10" s="127">
        <v>46286</v>
      </c>
      <c r="C10" s="128">
        <v>46286.650694444441</v>
      </c>
      <c r="D10" s="129">
        <v>36</v>
      </c>
      <c r="E10" t="s" s="130">
        <v>135</v>
      </c>
      <c r="F10" t="s" s="131">
        <v>136</v>
      </c>
      <c r="G10" s="132"/>
      <c r="H10" s="133"/>
      <c r="I10" t="s" s="131">
        <v>137</v>
      </c>
      <c r="J10" t="s" s="131">
        <v>136</v>
      </c>
      <c r="K10" t="s" s="130">
        <v>106</v>
      </c>
      <c r="L10" t="s" s="134">
        <v>138</v>
      </c>
      <c r="M10" s="135"/>
      <c r="N10" s="135"/>
    </row>
    <row r="11" ht="30" customHeight="1">
      <c r="A11" t="s" s="126">
        <v>141</v>
      </c>
      <c r="B11" s="127"/>
      <c r="C11" s="128"/>
      <c r="D11" s="129"/>
      <c r="E11" s="137"/>
      <c r="F11" s="138"/>
      <c r="G11" s="132"/>
      <c r="H11" s="133"/>
      <c r="I11" s="138"/>
      <c r="J11" s="138"/>
      <c r="K11" s="132"/>
      <c r="L11" s="139"/>
      <c r="M11" s="135"/>
      <c r="N11" s="135"/>
    </row>
    <row r="12" ht="30" customHeight="1">
      <c r="A12" t="s" s="126">
        <v>142</v>
      </c>
      <c r="B12" s="127"/>
      <c r="C12" s="128"/>
      <c r="D12" s="129"/>
      <c r="E12" s="137"/>
      <c r="F12" s="138"/>
      <c r="G12" s="132"/>
      <c r="H12" s="133"/>
      <c r="I12" s="138"/>
      <c r="J12" s="138"/>
      <c r="K12" s="132"/>
      <c r="L12" s="139"/>
      <c r="M12" s="135"/>
      <c r="N12" s="135"/>
    </row>
    <row r="13" ht="30" customHeight="1">
      <c r="A13" t="s" s="126">
        <v>143</v>
      </c>
      <c r="B13" s="127"/>
      <c r="C13" s="128"/>
      <c r="D13" s="129"/>
      <c r="E13" s="137"/>
      <c r="F13" s="138"/>
      <c r="G13" s="132"/>
      <c r="H13" s="133"/>
      <c r="I13" s="138"/>
      <c r="J13" s="138"/>
      <c r="K13" s="132"/>
      <c r="L13" s="139"/>
      <c r="M13" s="135"/>
      <c r="N13" s="135"/>
    </row>
    <row r="14" ht="30" customHeight="1">
      <c r="A14" t="s" s="126">
        <v>144</v>
      </c>
      <c r="B14" s="127"/>
      <c r="C14" s="128"/>
      <c r="D14" s="129"/>
      <c r="E14" s="137"/>
      <c r="F14" s="138"/>
      <c r="G14" s="132"/>
      <c r="H14" s="133"/>
      <c r="I14" s="138"/>
      <c r="J14" s="138"/>
      <c r="K14" s="132"/>
      <c r="L14" s="139"/>
      <c r="M14" s="135"/>
      <c r="N14" s="135"/>
    </row>
    <row r="15" ht="30" customHeight="1">
      <c r="A15" t="s" s="126">
        <v>145</v>
      </c>
      <c r="B15" s="127"/>
      <c r="C15" s="128"/>
      <c r="D15" s="129"/>
      <c r="E15" s="137"/>
      <c r="F15" s="138"/>
      <c r="G15" s="132"/>
      <c r="H15" s="133"/>
      <c r="I15" s="138"/>
      <c r="J15" s="138"/>
      <c r="K15" s="132"/>
      <c r="L15" s="139"/>
      <c r="M15" s="135"/>
      <c r="N15" s="135"/>
    </row>
    <row r="16" ht="30" customHeight="1">
      <c r="A16" t="s" s="126">
        <v>146</v>
      </c>
      <c r="B16" s="127"/>
      <c r="C16" s="128"/>
      <c r="D16" s="129"/>
      <c r="E16" s="137"/>
      <c r="F16" s="138"/>
      <c r="G16" s="132"/>
      <c r="H16" s="133"/>
      <c r="I16" s="138"/>
      <c r="J16" s="138"/>
      <c r="K16" s="132"/>
      <c r="L16" s="139"/>
      <c r="M16" s="135"/>
      <c r="N16" s="135"/>
    </row>
    <row r="17" ht="30" customHeight="1">
      <c r="A17" t="s" s="126">
        <v>147</v>
      </c>
      <c r="B17" s="127"/>
      <c r="C17" s="128"/>
      <c r="D17" s="129"/>
      <c r="E17" s="137"/>
      <c r="F17" s="138"/>
      <c r="G17" s="132"/>
      <c r="H17" s="133"/>
      <c r="I17" s="138"/>
      <c r="J17" s="138"/>
      <c r="K17" s="132"/>
      <c r="L17" s="139"/>
      <c r="M17" s="135"/>
      <c r="N17" s="135"/>
    </row>
    <row r="18" ht="30" customHeight="1">
      <c r="A18" t="s" s="126">
        <v>148</v>
      </c>
      <c r="B18" s="127"/>
      <c r="C18" s="128"/>
      <c r="D18" s="129"/>
      <c r="E18" s="137"/>
      <c r="F18" s="138"/>
      <c r="G18" s="132"/>
      <c r="H18" s="133"/>
      <c r="I18" s="138"/>
      <c r="J18" s="138"/>
      <c r="K18" s="132"/>
      <c r="L18" s="139"/>
      <c r="M18" s="135"/>
      <c r="N18" s="135"/>
    </row>
    <row r="19" ht="30" customHeight="1">
      <c r="A19" t="s" s="126">
        <v>149</v>
      </c>
      <c r="B19" s="127"/>
      <c r="C19" s="128"/>
      <c r="D19" s="129"/>
      <c r="E19" s="137"/>
      <c r="F19" s="138"/>
      <c r="G19" s="132"/>
      <c r="H19" s="133"/>
      <c r="I19" s="138"/>
      <c r="J19" s="138"/>
      <c r="K19" s="132"/>
      <c r="L19" s="139"/>
      <c r="M19" s="135"/>
      <c r="N19" s="135"/>
    </row>
    <row r="20" ht="30" customHeight="1">
      <c r="A20" t="s" s="126">
        <v>150</v>
      </c>
      <c r="B20" s="127"/>
      <c r="C20" s="128"/>
      <c r="D20" s="129"/>
      <c r="E20" s="137"/>
      <c r="F20" s="138"/>
      <c r="G20" s="132"/>
      <c r="H20" s="133"/>
      <c r="I20" s="138"/>
      <c r="J20" s="138"/>
      <c r="K20" s="132"/>
      <c r="L20" s="139"/>
      <c r="M20" s="135"/>
      <c r="N20" s="135"/>
    </row>
    <row r="21" ht="30" customHeight="1">
      <c r="A21" t="s" s="126">
        <v>151</v>
      </c>
      <c r="B21" s="127"/>
      <c r="C21" s="128"/>
      <c r="D21" s="129"/>
      <c r="E21" s="137"/>
      <c r="F21" s="138"/>
      <c r="G21" s="132"/>
      <c r="H21" s="133"/>
      <c r="I21" s="138"/>
      <c r="J21" s="138"/>
      <c r="K21" s="132"/>
      <c r="L21" s="139"/>
      <c r="M21" s="135"/>
      <c r="N21" s="135"/>
    </row>
    <row r="22" ht="30" customHeight="1">
      <c r="A22" t="s" s="126">
        <v>152</v>
      </c>
      <c r="B22" s="127"/>
      <c r="C22" s="128"/>
      <c r="D22" s="129"/>
      <c r="E22" s="137"/>
      <c r="F22" s="138"/>
      <c r="G22" s="132"/>
      <c r="H22" s="133"/>
      <c r="I22" s="138"/>
      <c r="J22" s="138"/>
      <c r="K22" s="132"/>
      <c r="L22" s="139"/>
      <c r="M22" s="135"/>
      <c r="N22" s="135"/>
    </row>
    <row r="23" ht="30" customHeight="1">
      <c r="A23" t="s" s="126">
        <v>153</v>
      </c>
      <c r="B23" s="127"/>
      <c r="C23" s="128"/>
      <c r="D23" s="129"/>
      <c r="E23" s="137"/>
      <c r="F23" s="138"/>
      <c r="G23" s="132"/>
      <c r="H23" s="133"/>
      <c r="I23" s="138"/>
      <c r="J23" s="138"/>
      <c r="K23" s="132"/>
      <c r="L23" s="139"/>
      <c r="M23" s="135"/>
      <c r="N23" s="135"/>
    </row>
    <row r="24" ht="30" customHeight="1">
      <c r="A24" t="s" s="126">
        <v>154</v>
      </c>
      <c r="B24" s="127"/>
      <c r="C24" s="128"/>
      <c r="D24" s="129"/>
      <c r="E24" s="137"/>
      <c r="F24" s="138"/>
      <c r="G24" s="132"/>
      <c r="H24" s="133"/>
      <c r="I24" s="138"/>
      <c r="J24" s="138"/>
      <c r="K24" s="132"/>
      <c r="L24" s="139"/>
      <c r="M24" s="135"/>
      <c r="N24" s="135"/>
    </row>
    <row r="25" ht="30" customHeight="1">
      <c r="A25" t="s" s="126">
        <v>155</v>
      </c>
      <c r="B25" s="127"/>
      <c r="C25" s="128"/>
      <c r="D25" s="129"/>
      <c r="E25" s="137"/>
      <c r="F25" s="138"/>
      <c r="G25" s="132"/>
      <c r="H25" s="133"/>
      <c r="I25" s="138"/>
      <c r="J25" s="138"/>
      <c r="K25" s="132"/>
      <c r="L25" s="139"/>
      <c r="M25" s="135"/>
      <c r="N25" s="135"/>
    </row>
    <row r="26" ht="30" customHeight="1">
      <c r="A26" t="s" s="126">
        <v>156</v>
      </c>
      <c r="B26" s="127"/>
      <c r="C26" s="128"/>
      <c r="D26" s="129"/>
      <c r="E26" s="137"/>
      <c r="F26" s="138"/>
      <c r="G26" s="132"/>
      <c r="H26" s="133"/>
      <c r="I26" s="138"/>
      <c r="J26" s="138"/>
      <c r="K26" s="132"/>
      <c r="L26" s="139"/>
      <c r="M26" s="135"/>
      <c r="N26" s="135"/>
    </row>
    <row r="27" ht="30" customHeight="1">
      <c r="A27" t="s" s="126">
        <v>157</v>
      </c>
      <c r="B27" s="127"/>
      <c r="C27" s="128"/>
      <c r="D27" s="129"/>
      <c r="E27" s="137"/>
      <c r="F27" s="138"/>
      <c r="G27" s="132"/>
      <c r="H27" s="133"/>
      <c r="I27" s="138"/>
      <c r="J27" s="138"/>
      <c r="K27" s="132"/>
      <c r="L27" s="139"/>
      <c r="M27" s="135"/>
      <c r="N27" s="135"/>
    </row>
    <row r="28" ht="30" customHeight="1">
      <c r="A28" t="s" s="126">
        <v>158</v>
      </c>
      <c r="B28" s="127"/>
      <c r="C28" s="128"/>
      <c r="D28" s="129"/>
      <c r="E28" s="137"/>
      <c r="F28" s="138"/>
      <c r="G28" s="132"/>
      <c r="H28" s="133"/>
      <c r="I28" s="138"/>
      <c r="J28" s="138"/>
      <c r="K28" s="132"/>
      <c r="L28" s="139"/>
      <c r="M28" s="135"/>
      <c r="N28" s="135"/>
    </row>
    <row r="29" ht="30" customHeight="1">
      <c r="A29" t="s" s="126">
        <v>159</v>
      </c>
      <c r="B29" s="127"/>
      <c r="C29" s="128"/>
      <c r="D29" s="129"/>
      <c r="E29" s="137"/>
      <c r="F29" s="138"/>
      <c r="G29" s="132"/>
      <c r="H29" s="133"/>
      <c r="I29" s="138"/>
      <c r="J29" s="138"/>
      <c r="K29" s="132"/>
      <c r="L29" s="139"/>
      <c r="M29" s="135"/>
      <c r="N29" s="135"/>
    </row>
    <row r="30" ht="30" customHeight="1">
      <c r="A30" t="s" s="126">
        <v>160</v>
      </c>
      <c r="B30" s="127"/>
      <c r="C30" s="128"/>
      <c r="D30" s="129"/>
      <c r="E30" s="137"/>
      <c r="F30" s="138"/>
      <c r="G30" s="132"/>
      <c r="H30" s="133"/>
      <c r="I30" s="138"/>
      <c r="J30" s="138"/>
      <c r="K30" s="132"/>
      <c r="L30" s="139"/>
      <c r="M30" s="135"/>
      <c r="N30" s="135"/>
    </row>
    <row r="31" ht="30" customHeight="1">
      <c r="A31" t="s" s="126">
        <v>161</v>
      </c>
      <c r="B31" s="127"/>
      <c r="C31" s="128"/>
      <c r="D31" s="129"/>
      <c r="E31" s="137"/>
      <c r="F31" s="138"/>
      <c r="G31" s="132"/>
      <c r="H31" s="133"/>
      <c r="I31" s="138"/>
      <c r="J31" s="138"/>
      <c r="K31" s="132"/>
      <c r="L31" s="139"/>
      <c r="M31" s="135"/>
      <c r="N31" s="135"/>
    </row>
    <row r="32" ht="30" customHeight="1">
      <c r="A32" t="s" s="126">
        <v>162</v>
      </c>
      <c r="B32" s="127"/>
      <c r="C32" s="128"/>
      <c r="D32" s="129"/>
      <c r="E32" s="137"/>
      <c r="F32" s="138"/>
      <c r="G32" s="132"/>
      <c r="H32" s="133"/>
      <c r="I32" s="138"/>
      <c r="J32" s="138"/>
      <c r="K32" s="132"/>
      <c r="L32" s="139"/>
      <c r="M32" s="135"/>
      <c r="N32" s="135"/>
    </row>
    <row r="33" ht="30" customHeight="1">
      <c r="A33" t="s" s="126">
        <v>163</v>
      </c>
      <c r="B33" s="127"/>
      <c r="C33" s="128"/>
      <c r="D33" s="129"/>
      <c r="E33" s="137"/>
      <c r="F33" s="138"/>
      <c r="G33" s="132"/>
      <c r="H33" s="133"/>
      <c r="I33" s="138"/>
      <c r="J33" s="138"/>
      <c r="K33" s="132"/>
      <c r="L33" s="139"/>
      <c r="M33" s="135"/>
      <c r="N33" s="135"/>
    </row>
    <row r="34" ht="30" customHeight="1">
      <c r="A34" t="s" s="126">
        <v>164</v>
      </c>
      <c r="B34" s="127"/>
      <c r="C34" s="128"/>
      <c r="D34" s="129"/>
      <c r="E34" s="137"/>
      <c r="F34" s="138"/>
      <c r="G34" s="132"/>
      <c r="H34" s="133"/>
      <c r="I34" s="138"/>
      <c r="J34" s="138"/>
      <c r="K34" s="132"/>
      <c r="L34" s="139"/>
      <c r="M34" s="135"/>
      <c r="N34" s="135"/>
    </row>
    <row r="35" ht="30" customHeight="1">
      <c r="A35" t="s" s="126">
        <v>165</v>
      </c>
      <c r="B35" s="127"/>
      <c r="C35" s="128"/>
      <c r="D35" s="129"/>
      <c r="E35" s="137"/>
      <c r="F35" s="138"/>
      <c r="G35" s="132"/>
      <c r="H35" s="133"/>
      <c r="I35" s="138"/>
      <c r="J35" s="138"/>
      <c r="K35" s="132"/>
      <c r="L35" s="139"/>
      <c r="M35" s="135"/>
      <c r="N35" s="135"/>
    </row>
    <row r="36" ht="30" customHeight="1">
      <c r="A36" t="s" s="126">
        <v>166</v>
      </c>
      <c r="B36" s="127"/>
      <c r="C36" s="128"/>
      <c r="D36" s="129"/>
      <c r="E36" s="137"/>
      <c r="F36" s="138"/>
      <c r="G36" s="132"/>
      <c r="H36" s="133"/>
      <c r="I36" s="138"/>
      <c r="J36" s="138"/>
      <c r="K36" s="132"/>
      <c r="L36" s="139"/>
      <c r="M36" s="135"/>
      <c r="N36" s="135"/>
    </row>
    <row r="37" ht="30" customHeight="1">
      <c r="A37" t="s" s="126">
        <v>167</v>
      </c>
      <c r="B37" s="127"/>
      <c r="C37" s="128"/>
      <c r="D37" s="129"/>
      <c r="E37" s="137"/>
      <c r="F37" s="138"/>
      <c r="G37" s="132"/>
      <c r="H37" s="133"/>
      <c r="I37" s="138"/>
      <c r="J37" s="138"/>
      <c r="K37" s="132"/>
      <c r="L37" s="139"/>
      <c r="M37" s="135"/>
      <c r="N37" s="135"/>
    </row>
    <row r="38" ht="30" customHeight="1">
      <c r="A38" t="s" s="126">
        <v>168</v>
      </c>
      <c r="B38" s="127"/>
      <c r="C38" s="128"/>
      <c r="D38" s="129"/>
      <c r="E38" s="137"/>
      <c r="F38" s="138"/>
      <c r="G38" s="132"/>
      <c r="H38" s="133"/>
      <c r="I38" s="138"/>
      <c r="J38" s="138"/>
      <c r="K38" s="132"/>
      <c r="L38" s="139"/>
      <c r="M38" s="135"/>
      <c r="N38" s="135"/>
    </row>
    <row r="39" ht="30" customHeight="1">
      <c r="A39" t="s" s="126">
        <v>169</v>
      </c>
      <c r="B39" s="127"/>
      <c r="C39" s="128"/>
      <c r="D39" s="129"/>
      <c r="E39" s="137"/>
      <c r="F39" s="138"/>
      <c r="G39" s="132"/>
      <c r="H39" s="133"/>
      <c r="I39" s="138"/>
      <c r="J39" s="138"/>
      <c r="K39" s="132"/>
      <c r="L39" s="139"/>
      <c r="M39" s="135"/>
      <c r="N39" s="135"/>
    </row>
    <row r="40" ht="30" customHeight="1">
      <c r="A40" t="s" s="126">
        <v>170</v>
      </c>
      <c r="B40" s="127"/>
      <c r="C40" s="128"/>
      <c r="D40" s="129"/>
      <c r="E40" s="137"/>
      <c r="F40" s="138"/>
      <c r="G40" s="132"/>
      <c r="H40" s="133"/>
      <c r="I40" s="138"/>
      <c r="J40" s="138"/>
      <c r="K40" s="132"/>
      <c r="L40" s="139"/>
      <c r="M40" s="135"/>
      <c r="N40" s="135"/>
    </row>
    <row r="41" ht="30" customHeight="1">
      <c r="A41" t="s" s="126">
        <v>171</v>
      </c>
      <c r="B41" s="127"/>
      <c r="C41" s="128"/>
      <c r="D41" s="129"/>
      <c r="E41" s="137"/>
      <c r="F41" s="138"/>
      <c r="G41" s="132"/>
      <c r="H41" s="133"/>
      <c r="I41" s="138"/>
      <c r="J41" s="138"/>
      <c r="K41" s="132"/>
      <c r="L41" s="139"/>
      <c r="M41" s="135"/>
      <c r="N41" s="135"/>
    </row>
    <row r="42" ht="30" customHeight="1">
      <c r="A42" t="s" s="126">
        <v>172</v>
      </c>
      <c r="B42" s="127"/>
      <c r="C42" s="128"/>
      <c r="D42" s="129"/>
      <c r="E42" s="137"/>
      <c r="F42" s="138"/>
      <c r="G42" s="132"/>
      <c r="H42" s="133"/>
      <c r="I42" s="138"/>
      <c r="J42" s="138"/>
      <c r="K42" s="132"/>
      <c r="L42" s="139"/>
      <c r="M42" s="135"/>
      <c r="N42" s="135"/>
    </row>
    <row r="43" ht="30" customHeight="1">
      <c r="A43" t="s" s="126">
        <v>173</v>
      </c>
      <c r="B43" s="127"/>
      <c r="C43" s="128"/>
      <c r="D43" s="129"/>
      <c r="E43" s="137"/>
      <c r="F43" s="138"/>
      <c r="G43" s="132"/>
      <c r="H43" s="133"/>
      <c r="I43" s="138"/>
      <c r="J43" s="138"/>
      <c r="K43" s="132"/>
      <c r="L43" s="139"/>
      <c r="M43" s="135"/>
      <c r="N43" s="135"/>
    </row>
    <row r="44" ht="30" customHeight="1">
      <c r="A44" t="s" s="126">
        <v>174</v>
      </c>
      <c r="B44" s="127"/>
      <c r="C44" s="128"/>
      <c r="D44" s="129"/>
      <c r="E44" s="137"/>
      <c r="F44" s="138"/>
      <c r="G44" s="132"/>
      <c r="H44" s="133"/>
      <c r="I44" s="138"/>
      <c r="J44" s="138"/>
      <c r="K44" s="132"/>
      <c r="L44" s="139"/>
      <c r="M44" s="135"/>
      <c r="N44" s="135"/>
    </row>
    <row r="45" ht="30" customHeight="1">
      <c r="A45" t="s" s="126">
        <v>175</v>
      </c>
      <c r="B45" s="127"/>
      <c r="C45" s="128"/>
      <c r="D45" s="129"/>
      <c r="E45" s="137"/>
      <c r="F45" s="138"/>
      <c r="G45" s="132"/>
      <c r="H45" s="133"/>
      <c r="I45" s="138"/>
      <c r="J45" s="138"/>
      <c r="K45" s="132"/>
      <c r="L45" s="139"/>
      <c r="M45" s="135"/>
      <c r="N45" s="135"/>
    </row>
    <row r="46" ht="30" customHeight="1">
      <c r="A46" t="s" s="126">
        <v>176</v>
      </c>
      <c r="B46" s="127"/>
      <c r="C46" s="128"/>
      <c r="D46" s="129"/>
      <c r="E46" s="137"/>
      <c r="F46" s="138"/>
      <c r="G46" s="132"/>
      <c r="H46" s="133"/>
      <c r="I46" s="138"/>
      <c r="J46" s="138"/>
      <c r="K46" s="132"/>
      <c r="L46" s="139"/>
      <c r="M46" s="135"/>
      <c r="N46" s="135"/>
    </row>
    <row r="47" ht="30" customHeight="1">
      <c r="A47" t="s" s="126">
        <v>177</v>
      </c>
      <c r="B47" s="127"/>
      <c r="C47" s="128"/>
      <c r="D47" s="129"/>
      <c r="E47" s="137"/>
      <c r="F47" s="138"/>
      <c r="G47" s="132"/>
      <c r="H47" s="133"/>
      <c r="I47" s="138"/>
      <c r="J47" s="138"/>
      <c r="K47" s="132"/>
      <c r="L47" s="139"/>
      <c r="M47" s="135"/>
      <c r="N47" s="135"/>
    </row>
    <row r="48" ht="13.55" customHeight="1">
      <c r="A48" s="140"/>
      <c r="B48" s="97"/>
      <c r="C48" s="97"/>
      <c r="D48" s="97"/>
      <c r="E48" s="97"/>
      <c r="F48" s="97"/>
      <c r="G48" s="97"/>
      <c r="H48" s="97"/>
      <c r="I48" s="97"/>
      <c r="J48" s="97"/>
      <c r="K48" s="97"/>
      <c r="L48" s="97"/>
      <c r="M48" s="141"/>
      <c r="N48" s="142"/>
    </row>
    <row r="49" ht="30" customHeight="1">
      <c r="A49" t="s" s="143">
        <v>178</v>
      </c>
      <c r="B49" s="144"/>
      <c r="C49" s="144"/>
      <c r="D49" s="144"/>
      <c r="E49" s="144"/>
      <c r="F49" s="144"/>
      <c r="G49" s="144"/>
      <c r="H49" s="144"/>
      <c r="I49" s="144"/>
      <c r="J49" s="144"/>
      <c r="K49" s="144"/>
      <c r="L49" s="144"/>
      <c r="M49" s="144"/>
      <c r="N49" s="145"/>
    </row>
  </sheetData>
  <mergeCells count="4">
    <mergeCell ref="A6:E6"/>
    <mergeCell ref="F6:L6"/>
    <mergeCell ref="M6:N6"/>
    <mergeCell ref="A49:N49"/>
  </mergeCells>
  <dataValidations count="4">
    <dataValidation type="list" allowBlank="1" showInputMessage="1" showErrorMessage="1" sqref="F8:F47 J8:J47">
      <formula1>"Yes,No"</formula1>
    </dataValidation>
    <dataValidation type="list" allowBlank="1" showInputMessage="1" showErrorMessage="1" sqref="G8:G47">
      <formula1>"A (apartment),B (building exit),C (first outdoor),D (mid-route),E (destination),Between A and B,Between B and C,Between C and D,Between D and E,Unclear"</formula1>
    </dataValidation>
    <dataValidation type="list" allowBlank="1" showInputMessage="1" showErrorMessage="1" sqref="I8:I47">
      <formula1>"Yes,No,N/A"</formula1>
    </dataValidation>
    <dataValidation type="list" allowBlank="1" showInputMessage="1" showErrorMessage="1" sqref="K8:K47">
      <formula1>"PASS,OBSERVED INTERRUPTION,INVALID RUN"</formula1>
    </dataValidation>
  </dataValidations>
  <pageMargins left="0.4" right="0.4" top="0.5" bottom="0.5" header="0.511811" footer="0.5"/>
  <pageSetup firstPageNumber="1" fitToHeight="1" fitToWidth="1" scale="100" useFirstPageNumber="0" orientation="landscape" pageOrder="downThenOver"/>
  <headerFooter>
    <oddFooter>&amp;R&amp;"Calibri,Regular"&amp;11&amp;K000000&amp;8&amp;P / &amp;N</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E50"/>
  <sheetViews>
    <sheetView workbookViewId="0" showGridLines="0" defaultGridColor="1"/>
  </sheetViews>
  <sheetFormatPr defaultColWidth="8.66667" defaultRowHeight="15" customHeight="1" outlineLevelRow="0" outlineLevelCol="0"/>
  <cols>
    <col min="1" max="1" width="3" style="146" customWidth="1"/>
    <col min="2" max="2" width="30" style="146" customWidth="1"/>
    <col min="3" max="3" width="34" style="146" customWidth="1"/>
    <col min="4" max="4" width="28" style="146" customWidth="1"/>
    <col min="5" max="5" width="22" style="146" customWidth="1"/>
    <col min="6" max="16384" width="8.67188" style="146" customWidth="1"/>
  </cols>
  <sheetData>
    <row r="1" ht="13.55" customHeight="1">
      <c r="A1" s="7"/>
      <c r="B1" s="8"/>
      <c r="C1" s="8"/>
      <c r="D1" s="8"/>
      <c r="E1" s="9"/>
    </row>
    <row r="2" ht="25.5" customHeight="1">
      <c r="A2" s="10"/>
      <c r="B2" t="s" s="73">
        <v>180</v>
      </c>
      <c r="C2" s="12"/>
      <c r="D2" s="12"/>
      <c r="E2" s="13"/>
    </row>
    <row r="3" ht="15.75" customHeight="1">
      <c r="A3" s="10"/>
      <c r="B3" t="s" s="74">
        <v>181</v>
      </c>
      <c r="C3" s="12"/>
      <c r="D3" s="12"/>
      <c r="E3" s="13"/>
    </row>
    <row r="4" ht="8" customHeight="1">
      <c r="A4" s="10"/>
      <c r="B4" s="20"/>
      <c r="C4" s="20"/>
      <c r="D4" s="20"/>
      <c r="E4" s="21"/>
    </row>
    <row r="5" ht="14.05" customHeight="1">
      <c r="A5" s="10"/>
      <c r="B5" s="75"/>
      <c r="C5" s="147"/>
      <c r="D5" s="147"/>
      <c r="E5" s="148"/>
    </row>
    <row r="6" ht="24" customHeight="1">
      <c r="A6" s="10"/>
      <c r="B6" t="s" s="149">
        <v>120</v>
      </c>
      <c r="C6" s="150"/>
      <c r="D6" s="150"/>
      <c r="E6" s="150"/>
    </row>
    <row r="7" ht="13.55" customHeight="1">
      <c r="A7" s="10"/>
      <c r="B7" s="12"/>
      <c r="C7" s="97"/>
      <c r="D7" s="97"/>
      <c r="E7" s="98"/>
    </row>
    <row r="8" ht="21.75" customHeight="1">
      <c r="A8" s="10"/>
      <c r="B8" t="s" s="77">
        <v>182</v>
      </c>
      <c r="C8" s="30"/>
      <c r="D8" s="30"/>
      <c r="E8" s="31"/>
    </row>
    <row r="9" ht="13.55" customHeight="1">
      <c r="A9" s="10"/>
      <c r="B9" s="36"/>
      <c r="C9" s="78"/>
      <c r="D9" s="78"/>
      <c r="E9" s="79"/>
    </row>
    <row r="10" ht="54" customHeight="1">
      <c r="A10" s="10"/>
      <c r="B10" t="s" s="151">
        <v>183</v>
      </c>
      <c r="C10" s="152"/>
      <c r="D10" s="152"/>
      <c r="E10" s="152"/>
    </row>
    <row r="11" ht="27" customHeight="1">
      <c r="A11" s="10"/>
      <c r="B11" s="12"/>
      <c r="C11" t="s" s="153">
        <v>184</v>
      </c>
      <c r="D11" s="154"/>
      <c r="E11" s="155"/>
    </row>
    <row r="12" ht="39.75" customHeight="1">
      <c r="A12" s="10"/>
      <c r="B12" t="s" s="151">
        <v>185</v>
      </c>
      <c r="C12" s="152"/>
      <c r="D12" s="152"/>
      <c r="E12" s="152"/>
    </row>
    <row r="13" ht="27" customHeight="1">
      <c r="A13" s="10"/>
      <c r="B13" s="12"/>
      <c r="C13" t="s" s="153">
        <v>186</v>
      </c>
      <c r="D13" s="154"/>
      <c r="E13" s="155"/>
    </row>
    <row r="14" ht="69.75" customHeight="1">
      <c r="A14" s="10"/>
      <c r="B14" t="s" s="151">
        <v>187</v>
      </c>
      <c r="C14" s="152"/>
      <c r="D14" s="152"/>
      <c r="E14" s="152"/>
    </row>
    <row r="15" ht="27" customHeight="1">
      <c r="A15" s="10"/>
      <c r="B15" s="12"/>
      <c r="C15" t="s" s="153">
        <v>188</v>
      </c>
      <c r="D15" s="154"/>
      <c r="E15" s="155"/>
    </row>
    <row r="16" ht="69.75" customHeight="1">
      <c r="A16" s="10"/>
      <c r="B16" t="s" s="151">
        <v>189</v>
      </c>
      <c r="C16" s="152"/>
      <c r="D16" s="152"/>
      <c r="E16" s="152"/>
    </row>
    <row r="17" ht="27" customHeight="1">
      <c r="A17" s="10"/>
      <c r="B17" s="12"/>
      <c r="C17" t="s" s="153">
        <v>190</v>
      </c>
      <c r="D17" s="154"/>
      <c r="E17" s="155"/>
    </row>
    <row r="18" ht="24" customHeight="1">
      <c r="A18" s="10"/>
      <c r="B18" t="s" s="151">
        <v>191</v>
      </c>
      <c r="C18" s="152"/>
      <c r="D18" s="152"/>
      <c r="E18" s="152"/>
    </row>
    <row r="19" ht="15" customHeight="1">
      <c r="A19" s="10"/>
      <c r="B19" s="12"/>
      <c r="C19" t="s" s="153">
        <v>192</v>
      </c>
      <c r="D19" s="154"/>
      <c r="E19" s="155"/>
    </row>
    <row r="20" ht="30" customHeight="1">
      <c r="A20" s="10"/>
      <c r="B20" t="s" s="151">
        <v>193</v>
      </c>
      <c r="C20" s="152"/>
      <c r="D20" s="152"/>
      <c r="E20" s="152"/>
    </row>
    <row r="21" ht="27" customHeight="1">
      <c r="A21" s="10"/>
      <c r="B21" s="12"/>
      <c r="C21" t="s" s="153">
        <v>194</v>
      </c>
      <c r="D21" s="154"/>
      <c r="E21" s="155"/>
    </row>
    <row r="22" ht="33.75" customHeight="1">
      <c r="A22" s="10"/>
      <c r="B22" t="s" s="151">
        <v>195</v>
      </c>
      <c r="C22" s="152"/>
      <c r="D22" s="152"/>
      <c r="E22" s="152"/>
    </row>
    <row r="23" ht="27" customHeight="1">
      <c r="A23" s="10"/>
      <c r="B23" s="12"/>
      <c r="C23" t="s" s="153">
        <v>196</v>
      </c>
      <c r="D23" s="154"/>
      <c r="E23" s="155"/>
    </row>
    <row r="24" ht="48" customHeight="1">
      <c r="A24" s="10"/>
      <c r="B24" t="s" s="151">
        <v>197</v>
      </c>
      <c r="C24" s="152"/>
      <c r="D24" s="152"/>
      <c r="E24" s="152"/>
    </row>
    <row r="25" ht="27" customHeight="1">
      <c r="A25" s="10"/>
      <c r="B25" s="12"/>
      <c r="C25" t="s" s="156">
        <v>198</v>
      </c>
      <c r="D25" s="157"/>
      <c r="E25" s="158"/>
    </row>
    <row r="26" ht="13.55" customHeight="1">
      <c r="A26" s="10"/>
      <c r="B26" s="12"/>
      <c r="C26" s="12"/>
      <c r="D26" s="12"/>
      <c r="E26" s="13"/>
    </row>
    <row r="27" ht="21.75" customHeight="1">
      <c r="A27" s="10"/>
      <c r="B27" t="s" s="77">
        <v>199</v>
      </c>
      <c r="C27" s="30"/>
      <c r="D27" s="30"/>
      <c r="E27" s="31"/>
    </row>
    <row r="28" ht="13.55" customHeight="1">
      <c r="A28" s="10"/>
      <c r="B28" s="36"/>
      <c r="C28" s="78"/>
      <c r="D28" s="78"/>
      <c r="E28" s="79"/>
    </row>
    <row r="29" ht="61.5" customHeight="1">
      <c r="A29" s="10"/>
      <c r="B29" t="s" s="151">
        <v>200</v>
      </c>
      <c r="C29" s="152"/>
      <c r="D29" s="152"/>
      <c r="E29" s="152"/>
    </row>
    <row r="30" ht="38.25" customHeight="1">
      <c r="A30" s="10"/>
      <c r="B30" s="12"/>
      <c r="C30" t="s" s="153">
        <v>201</v>
      </c>
      <c r="D30" s="154"/>
      <c r="E30" s="155"/>
    </row>
    <row r="31" ht="48" customHeight="1">
      <c r="A31" s="10"/>
      <c r="B31" t="s" s="151">
        <v>202</v>
      </c>
      <c r="C31" s="152"/>
      <c r="D31" s="152"/>
      <c r="E31" s="152"/>
    </row>
    <row r="32" ht="27" customHeight="1">
      <c r="A32" s="10"/>
      <c r="B32" s="12"/>
      <c r="C32" t="s" s="153">
        <v>203</v>
      </c>
      <c r="D32" s="154"/>
      <c r="E32" s="155"/>
    </row>
    <row r="33" ht="48" customHeight="1">
      <c r="A33" s="10"/>
      <c r="B33" t="s" s="151">
        <v>204</v>
      </c>
      <c r="C33" s="152"/>
      <c r="D33" s="152"/>
      <c r="E33" s="152"/>
    </row>
    <row r="34" ht="27" customHeight="1">
      <c r="A34" s="10"/>
      <c r="B34" s="12"/>
      <c r="C34" t="s" s="156">
        <v>205</v>
      </c>
      <c r="D34" s="157"/>
      <c r="E34" s="158"/>
    </row>
    <row r="35" ht="13.55" customHeight="1">
      <c r="A35" s="10"/>
      <c r="B35" s="12"/>
      <c r="C35" s="12"/>
      <c r="D35" s="12"/>
      <c r="E35" s="13"/>
    </row>
    <row r="36" ht="21.75" customHeight="1">
      <c r="A36" s="10"/>
      <c r="B36" t="s" s="77">
        <v>206</v>
      </c>
      <c r="C36" s="30"/>
      <c r="D36" s="30"/>
      <c r="E36" s="31"/>
    </row>
    <row r="37" ht="13.55" customHeight="1">
      <c r="A37" s="10"/>
      <c r="B37" s="36"/>
      <c r="C37" s="78"/>
      <c r="D37" s="78"/>
      <c r="E37" s="79"/>
    </row>
    <row r="38" ht="39.75" customHeight="1">
      <c r="A38" s="10"/>
      <c r="B38" t="s" s="151">
        <v>207</v>
      </c>
      <c r="C38" s="152"/>
      <c r="D38" s="152"/>
      <c r="E38" s="152"/>
    </row>
    <row r="39" ht="15" customHeight="1">
      <c r="A39" s="10"/>
      <c r="B39" s="12"/>
      <c r="C39" t="s" s="153">
        <v>208</v>
      </c>
      <c r="D39" s="154"/>
      <c r="E39" s="155"/>
    </row>
    <row r="40" ht="43.5" customHeight="1">
      <c r="A40" s="10"/>
      <c r="B40" t="s" s="151">
        <v>209</v>
      </c>
      <c r="C40" s="152"/>
      <c r="D40" s="152"/>
      <c r="E40" s="152"/>
    </row>
    <row r="41" ht="27" customHeight="1">
      <c r="A41" s="10"/>
      <c r="B41" s="12"/>
      <c r="C41" t="s" s="156">
        <v>210</v>
      </c>
      <c r="D41" s="157"/>
      <c r="E41" s="158"/>
    </row>
    <row r="42" ht="13.55" customHeight="1">
      <c r="A42" s="10"/>
      <c r="B42" s="12"/>
      <c r="C42" s="12"/>
      <c r="D42" s="12"/>
      <c r="E42" s="13"/>
    </row>
    <row r="43" ht="21.75" customHeight="1">
      <c r="A43" s="10"/>
      <c r="B43" t="s" s="77">
        <v>211</v>
      </c>
      <c r="C43" s="30"/>
      <c r="D43" s="30"/>
      <c r="E43" s="31"/>
    </row>
    <row r="44" ht="13.55" customHeight="1">
      <c r="A44" s="10"/>
      <c r="B44" s="36"/>
      <c r="C44" s="78"/>
      <c r="D44" s="78"/>
      <c r="E44" s="79"/>
    </row>
    <row r="45" ht="39.75" customHeight="1">
      <c r="A45" s="10"/>
      <c r="B45" t="s" s="151">
        <v>212</v>
      </c>
      <c r="C45" s="152"/>
      <c r="D45" s="152"/>
      <c r="E45" s="152"/>
    </row>
    <row r="46" ht="27" customHeight="1">
      <c r="A46" s="10"/>
      <c r="B46" s="12"/>
      <c r="C46" t="s" s="153">
        <v>213</v>
      </c>
      <c r="D46" s="154"/>
      <c r="E46" s="155"/>
    </row>
    <row r="47" ht="25.5" customHeight="1">
      <c r="A47" s="10"/>
      <c r="B47" t="s" s="151">
        <v>214</v>
      </c>
      <c r="C47" s="152"/>
      <c r="D47" s="152"/>
      <c r="E47" s="152"/>
    </row>
    <row r="48" ht="15" customHeight="1">
      <c r="A48" s="10"/>
      <c r="B48" s="12"/>
      <c r="C48" t="s" s="156">
        <v>215</v>
      </c>
      <c r="D48" s="157"/>
      <c r="E48" s="158"/>
    </row>
    <row r="49" ht="13.55" customHeight="1">
      <c r="A49" s="10"/>
      <c r="B49" s="12"/>
      <c r="C49" s="12"/>
      <c r="D49" s="12"/>
      <c r="E49" s="13"/>
    </row>
    <row r="50" ht="30" customHeight="1">
      <c r="A50" s="108"/>
      <c r="B50" t="s" s="159">
        <v>216</v>
      </c>
      <c r="C50" s="160"/>
      <c r="D50" s="160"/>
      <c r="E50" s="161"/>
    </row>
  </sheetData>
  <mergeCells count="32">
    <mergeCell ref="C6:E6"/>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9:E29"/>
    <mergeCell ref="C30:E30"/>
    <mergeCell ref="C31:E31"/>
    <mergeCell ref="C32:E32"/>
    <mergeCell ref="C33:E33"/>
    <mergeCell ref="C34:E34"/>
    <mergeCell ref="C38:E38"/>
    <mergeCell ref="C39:E39"/>
    <mergeCell ref="C40:E40"/>
    <mergeCell ref="C41:E41"/>
    <mergeCell ref="C45:E45"/>
    <mergeCell ref="C46:E46"/>
    <mergeCell ref="C47:E47"/>
    <mergeCell ref="C48:E48"/>
    <mergeCell ref="B50:E50"/>
  </mergeCells>
  <pageMargins left="0.4" right="0.4" top="0.5" bottom="0.5" header="0.511811" footer="0.5"/>
  <pageSetup firstPageNumber="1" fitToHeight="1" fitToWidth="1" scale="100" useFirstPageNumber="0" orientation="landscape" pageOrder="downThenOver"/>
  <headerFooter>
    <oddFooter>&amp;R&amp;"Calibri,Regular"&amp;11&amp;K000000&amp;8&amp;P / &amp;N</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F40"/>
  <sheetViews>
    <sheetView workbookViewId="0" showGridLines="0" defaultGridColor="1"/>
  </sheetViews>
  <sheetFormatPr defaultColWidth="8.66667" defaultRowHeight="15" customHeight="1" outlineLevelRow="0" outlineLevelCol="0"/>
  <cols>
    <col min="1" max="1" width="3" style="162" customWidth="1"/>
    <col min="2" max="2" width="34" style="162" customWidth="1"/>
    <col min="3" max="3" width="16" style="162" customWidth="1"/>
    <col min="4" max="4" width="4" style="162" customWidth="1"/>
    <col min="5" max="5" width="30" style="162" customWidth="1"/>
    <col min="6" max="6" width="14" style="162" customWidth="1"/>
    <col min="7" max="16384" width="8.67188" style="162" customWidth="1"/>
  </cols>
  <sheetData>
    <row r="1" ht="13.55" customHeight="1">
      <c r="A1" s="7"/>
      <c r="B1" s="8"/>
      <c r="C1" s="8"/>
      <c r="D1" s="8"/>
      <c r="E1" s="8"/>
      <c r="F1" s="9"/>
    </row>
    <row r="2" ht="25.5" customHeight="1">
      <c r="A2" s="10"/>
      <c r="B2" t="s" s="73">
        <v>218</v>
      </c>
      <c r="C2" s="12"/>
      <c r="D2" s="12"/>
      <c r="E2" s="12"/>
      <c r="F2" s="13"/>
    </row>
    <row r="3" ht="15.75" customHeight="1">
      <c r="A3" s="10"/>
      <c r="B3" t="s" s="74">
        <v>219</v>
      </c>
      <c r="C3" s="12"/>
      <c r="D3" s="12"/>
      <c r="E3" s="12"/>
      <c r="F3" s="13"/>
    </row>
    <row r="4" ht="8" customHeight="1">
      <c r="A4" s="10"/>
      <c r="B4" s="20"/>
      <c r="C4" s="20"/>
      <c r="D4" s="20"/>
      <c r="E4" s="20"/>
      <c r="F4" s="21"/>
    </row>
    <row r="5" ht="14.05" customHeight="1">
      <c r="A5" s="10"/>
      <c r="B5" s="75"/>
      <c r="C5" s="75"/>
      <c r="D5" s="75"/>
      <c r="E5" s="75"/>
      <c r="F5" s="76"/>
    </row>
    <row r="6" ht="21.75" customHeight="1">
      <c r="A6" s="10"/>
      <c r="B6" t="s" s="77">
        <v>220</v>
      </c>
      <c r="C6" s="30"/>
      <c r="D6" s="12"/>
      <c r="E6" s="12"/>
      <c r="F6" s="13"/>
    </row>
    <row r="7" ht="13.55" customHeight="1">
      <c r="A7" s="10"/>
      <c r="B7" s="36"/>
      <c r="C7" s="163"/>
      <c r="D7" s="12"/>
      <c r="E7" s="12"/>
      <c r="F7" s="13"/>
    </row>
    <row r="8" ht="19.5" customHeight="1">
      <c r="A8" s="10"/>
      <c r="B8" t="s" s="164">
        <v>221</v>
      </c>
      <c r="C8" s="165" cm="1">
        <f t="array" ref="C8">COUNTA('FIELD LOG'!$K$8:$K$47)</f>
        <v>3</v>
      </c>
      <c r="D8" s="166"/>
      <c r="E8" t="s" s="167">
        <v>222</v>
      </c>
      <c r="F8" s="168"/>
    </row>
    <row r="9" ht="19.5" customHeight="1">
      <c r="A9" s="10"/>
      <c r="B9" t="s" s="164">
        <v>223</v>
      </c>
      <c r="C9" s="165" cm="1">
        <f t="array" ref="C9">COUNTIF('FIELD LOG'!$K$8:$K$47,"PASS")+COUNTIF('FIELD LOG'!$K$8:$K$47,"OBSERVED INTERRUPTION")</f>
        <v>3</v>
      </c>
      <c r="D9" s="166"/>
      <c r="E9" t="s" s="167">
        <v>224</v>
      </c>
      <c r="F9" s="168"/>
    </row>
    <row r="10" ht="19.5" customHeight="1">
      <c r="A10" s="10"/>
      <c r="B10" t="s" s="164">
        <v>225</v>
      </c>
      <c r="C10" s="165" cm="1">
        <f t="array" ref="C10">COUNTIF('FIELD LOG'!$K$8:$K$47,"PASS")</f>
        <v>3</v>
      </c>
      <c r="D10" s="166"/>
      <c r="E10" s="12"/>
      <c r="F10" s="13"/>
    </row>
    <row r="11" ht="19.5" customHeight="1">
      <c r="A11" s="10"/>
      <c r="B11" t="s" s="164">
        <v>226</v>
      </c>
      <c r="C11" s="165" cm="1">
        <f t="array" ref="C11">COUNTIF('FIELD LOG'!$K$8:$K$47,"OBSERVED INTERRUPTION")</f>
        <v>0</v>
      </c>
      <c r="D11" s="166"/>
      <c r="E11" s="12"/>
      <c r="F11" s="13"/>
    </row>
    <row r="12" ht="19.5" customHeight="1">
      <c r="A12" s="10"/>
      <c r="B12" t="s" s="164">
        <v>227</v>
      </c>
      <c r="C12" s="169" cm="1">
        <f t="array" ref="C12">COUNTIF('FIELD LOG'!$K$8:$K$47,"INVALID RUN")</f>
        <v>0</v>
      </c>
      <c r="D12" s="166"/>
      <c r="E12" t="s" s="167">
        <v>228</v>
      </c>
      <c r="F12" s="168"/>
    </row>
    <row r="13" ht="19.5" customHeight="1">
      <c r="A13" s="10"/>
      <c r="B13" t="s" s="80">
        <v>229</v>
      </c>
      <c r="C13" s="170">
        <v>5</v>
      </c>
      <c r="D13" s="171"/>
      <c r="E13" t="s" s="167">
        <v>230</v>
      </c>
      <c r="F13" s="168"/>
    </row>
    <row r="14" ht="19.5" customHeight="1">
      <c r="A14" s="10"/>
      <c r="B14" t="s" s="164">
        <v>231</v>
      </c>
      <c r="C14" s="165" cm="1">
        <f t="array" ref="C14">MAX(0,$C$13-$C$9)</f>
        <v>2</v>
      </c>
      <c r="D14" s="166"/>
      <c r="E14" s="12"/>
      <c r="F14" s="13"/>
    </row>
    <row r="15" ht="13.55" customHeight="1">
      <c r="A15" s="10"/>
      <c r="B15" s="12"/>
      <c r="C15" s="141"/>
      <c r="D15" s="12"/>
      <c r="E15" s="12"/>
      <c r="F15" s="13"/>
    </row>
    <row r="16" ht="21.75" customHeight="1">
      <c r="A16" s="10"/>
      <c r="B16" t="s" s="77">
        <v>232</v>
      </c>
      <c r="C16" s="30"/>
      <c r="D16" s="12"/>
      <c r="E16" s="12"/>
      <c r="F16" s="13"/>
    </row>
    <row r="17" ht="13.55" customHeight="1">
      <c r="A17" s="10"/>
      <c r="B17" s="36"/>
      <c r="C17" s="163"/>
      <c r="D17" s="12"/>
      <c r="E17" s="12"/>
      <c r="F17" s="13"/>
    </row>
    <row r="18" ht="19.5" customHeight="1">
      <c r="A18" s="10"/>
      <c r="B18" t="s" s="164">
        <v>233</v>
      </c>
      <c r="C18" s="172" cm="1">
        <f t="array" ref="C18">_xlfn.IFERROR($C$11/$C$9,"")</f>
        <v>0</v>
      </c>
      <c r="D18" s="166"/>
      <c r="E18" t="s" s="167">
        <v>234</v>
      </c>
      <c r="F18" s="168"/>
    </row>
    <row r="19" ht="19.5" customHeight="1">
      <c r="A19" s="10"/>
      <c r="B19" t="s" s="164">
        <v>235</v>
      </c>
      <c r="C19" s="165" cm="1">
        <f t="array" ref="C19">_xlfn.COUNTIFS('FIELD LOG'!$F$8:$F$47,"Yes",'FIELD LOG'!$I$8:$I$47,"Yes")</f>
        <v>0</v>
      </c>
      <c r="D19" s="166"/>
      <c r="E19" t="s" s="167">
        <v>236</v>
      </c>
      <c r="F19" s="168"/>
    </row>
    <row r="20" ht="19.5" customHeight="1">
      <c r="A20" s="10"/>
      <c r="B20" t="s" s="164">
        <v>237</v>
      </c>
      <c r="C20" t="str" s="173" cm="1">
        <f t="array" ref="C20">_xlfn.IFERROR($C$19/$C$11,"")</f>
      </c>
      <c r="D20" s="166"/>
      <c r="E20" t="s" s="167">
        <v>238</v>
      </c>
      <c r="F20" s="168"/>
    </row>
    <row r="21" ht="19.5" customHeight="1">
      <c r="A21" s="10"/>
      <c r="B21" t="s" s="164">
        <v>239</v>
      </c>
      <c r="C21" s="165" cm="1">
        <f t="array" ref="C21">_xlfn.COUNTIFS('FIELD LOG'!$F$8:$F$47,"Yes",'FIELD LOG'!$J$8:$J$47,"Yes")</f>
        <v>0</v>
      </c>
      <c r="D21" s="166"/>
      <c r="E21" t="s" s="167">
        <v>240</v>
      </c>
      <c r="F21" s="168"/>
    </row>
    <row r="22" ht="13.55" customHeight="1">
      <c r="A22" s="10"/>
      <c r="B22" s="12"/>
      <c r="C22" s="141"/>
      <c r="D22" s="12"/>
      <c r="E22" s="12"/>
      <c r="F22" s="13"/>
    </row>
    <row r="23" ht="21.75" customHeight="1">
      <c r="A23" s="10"/>
      <c r="B23" t="s" s="77">
        <v>241</v>
      </c>
      <c r="C23" s="30"/>
      <c r="D23" s="12"/>
      <c r="E23" s="12"/>
      <c r="F23" s="13"/>
    </row>
    <row r="24" ht="13.55" customHeight="1">
      <c r="A24" s="10"/>
      <c r="B24" s="36"/>
      <c r="C24" s="36"/>
      <c r="D24" s="12"/>
      <c r="E24" s="12"/>
      <c r="F24" s="13"/>
    </row>
    <row r="25" ht="19.5" customHeight="1">
      <c r="A25" s="10"/>
      <c r="B25" t="s" s="174">
        <v>242</v>
      </c>
      <c r="C25" t="s" s="175">
        <v>243</v>
      </c>
      <c r="D25" s="12"/>
      <c r="E25" s="12"/>
      <c r="F25" s="13"/>
    </row>
    <row r="26" ht="18.75" customHeight="1">
      <c r="A26" s="10"/>
      <c r="B26" t="s" s="176">
        <v>244</v>
      </c>
      <c r="C26" s="165" cm="1">
        <f t="array" ref="C26">_xlfn.COUNTIFS('FIELD LOG'!$G$8:$G$47,$B$26,'FIELD LOG'!$F$8:$F$47,"Yes")</f>
        <v>0</v>
      </c>
      <c r="D26" s="166"/>
      <c r="E26" s="12"/>
      <c r="F26" s="13"/>
    </row>
    <row r="27" ht="18.75" customHeight="1">
      <c r="A27" s="10"/>
      <c r="B27" t="s" s="177">
        <v>245</v>
      </c>
      <c r="C27" s="165" cm="1">
        <f t="array" ref="C27">_xlfn.COUNTIFS('FIELD LOG'!$G$8:$G$47,$B$27,'FIELD LOG'!$F$8:$F$47,"Yes")</f>
        <v>0</v>
      </c>
      <c r="D27" s="166"/>
      <c r="E27" s="12"/>
      <c r="F27" s="13"/>
    </row>
    <row r="28" ht="18.75" customHeight="1">
      <c r="A28" s="10"/>
      <c r="B28" t="s" s="164">
        <v>246</v>
      </c>
      <c r="C28" s="165" cm="1">
        <f t="array" ref="C28">_xlfn.COUNTIFS('FIELD LOG'!$G$8:$G$47,$B$28,'FIELD LOG'!$F$8:$F$47,"Yes")</f>
        <v>0</v>
      </c>
      <c r="D28" s="166"/>
      <c r="E28" s="12"/>
      <c r="F28" s="13"/>
    </row>
    <row r="29" ht="18.75" customHeight="1">
      <c r="A29" s="10"/>
      <c r="B29" t="s" s="177">
        <v>247</v>
      </c>
      <c r="C29" s="165" cm="1">
        <f t="array" ref="C29">_xlfn.COUNTIFS('FIELD LOG'!$G$8:$G$47,$B$29,'FIELD LOG'!$F$8:$F$47,"Yes")</f>
        <v>0</v>
      </c>
      <c r="D29" s="166"/>
      <c r="E29" s="12"/>
      <c r="F29" s="13"/>
    </row>
    <row r="30" ht="18.75" customHeight="1">
      <c r="A30" s="10"/>
      <c r="B30" t="s" s="164">
        <v>248</v>
      </c>
      <c r="C30" s="165" cm="1">
        <f t="array" ref="C30">_xlfn.COUNTIFS('FIELD LOG'!$G$8:$G$47,$B$30,'FIELD LOG'!$F$8:$F$47,"Yes")</f>
        <v>0</v>
      </c>
      <c r="D30" s="166"/>
      <c r="E30" s="12"/>
      <c r="F30" s="13"/>
    </row>
    <row r="31" ht="18.75" customHeight="1">
      <c r="A31" s="10"/>
      <c r="B31" t="s" s="177">
        <v>249</v>
      </c>
      <c r="C31" s="165" cm="1">
        <f t="array" ref="C31">_xlfn.COUNTIFS('FIELD LOG'!$G$8:$G$47,$B$31,'FIELD LOG'!$F$8:$F$47,"Yes")</f>
        <v>0</v>
      </c>
      <c r="D31" s="166"/>
      <c r="E31" s="12"/>
      <c r="F31" s="13"/>
    </row>
    <row r="32" ht="18.75" customHeight="1">
      <c r="A32" s="10"/>
      <c r="B32" t="s" s="164">
        <v>250</v>
      </c>
      <c r="C32" s="165" cm="1">
        <f t="array" ref="C32">_xlfn.COUNTIFS('FIELD LOG'!$G$8:$G$47,$B$32,'FIELD LOG'!$F$8:$F$47,"Yes")</f>
        <v>0</v>
      </c>
      <c r="D32" s="166"/>
      <c r="E32" s="12"/>
      <c r="F32" s="13"/>
    </row>
    <row r="33" ht="18.75" customHeight="1">
      <c r="A33" s="10"/>
      <c r="B33" t="s" s="177">
        <v>251</v>
      </c>
      <c r="C33" s="165" cm="1">
        <f t="array" ref="C33">_xlfn.COUNTIFS('FIELD LOG'!$G$8:$G$47,$B$33,'FIELD LOG'!$F$8:$F$47,"Yes")</f>
        <v>0</v>
      </c>
      <c r="D33" s="166"/>
      <c r="E33" s="12"/>
      <c r="F33" s="13"/>
    </row>
    <row r="34" ht="18.75" customHeight="1">
      <c r="A34" s="10"/>
      <c r="B34" t="s" s="164">
        <v>252</v>
      </c>
      <c r="C34" s="165" cm="1">
        <f t="array" ref="C34">_xlfn.COUNTIFS('FIELD LOG'!$G$8:$G$47,$B$34,'FIELD LOG'!$F$8:$F$47,"Yes")</f>
        <v>0</v>
      </c>
      <c r="D34" s="166"/>
      <c r="E34" s="12"/>
      <c r="F34" s="13"/>
    </row>
    <row r="35" ht="18.75" customHeight="1">
      <c r="A35" s="10"/>
      <c r="B35" t="s" s="177">
        <v>253</v>
      </c>
      <c r="C35" s="178" cm="1">
        <f t="array" ref="C35">_xlfn.COUNTIFS('FIELD LOG'!$G$8:$G$47,$B$35,'FIELD LOG'!$F$8:$F$47,"Yes")</f>
        <v>0</v>
      </c>
      <c r="D35" s="166"/>
      <c r="E35" s="12"/>
      <c r="F35" s="13"/>
    </row>
    <row r="36" ht="19.5" customHeight="1">
      <c r="A36" s="10"/>
      <c r="B36" t="s" s="179">
        <v>254</v>
      </c>
      <c r="C36" s="180" cm="1">
        <f t="array" ref="C36">SUM($C$26:$C$35)</f>
        <v>0</v>
      </c>
      <c r="D36" s="166"/>
      <c r="E36" s="12"/>
      <c r="F36" s="13"/>
    </row>
    <row r="37" ht="13.55" customHeight="1">
      <c r="A37" s="10"/>
      <c r="B37" s="12"/>
      <c r="C37" s="181"/>
      <c r="D37" s="12"/>
      <c r="E37" s="12"/>
      <c r="F37" s="13"/>
    </row>
    <row r="38" ht="18.75" customHeight="1">
      <c r="A38" s="10"/>
      <c r="B38" t="s" s="182">
        <v>255</v>
      </c>
      <c r="C38" s="183" cm="1">
        <f t="array" ref="C38">MAX(0,$C$11-$C$36)</f>
        <v>0</v>
      </c>
      <c r="D38" s="166"/>
      <c r="E38" s="12"/>
      <c r="F38" s="13"/>
    </row>
    <row r="39" ht="13.55" customHeight="1">
      <c r="A39" s="10"/>
      <c r="B39" s="12"/>
      <c r="C39" s="141"/>
      <c r="D39" s="12"/>
      <c r="E39" s="12"/>
      <c r="F39" s="13"/>
    </row>
    <row r="40" ht="31.5" customHeight="1">
      <c r="A40" s="108"/>
      <c r="B40" t="s" s="184">
        <v>256</v>
      </c>
      <c r="C40" s="144"/>
      <c r="D40" s="144"/>
      <c r="E40" s="144"/>
      <c r="F40" s="145"/>
    </row>
  </sheetData>
  <mergeCells count="9">
    <mergeCell ref="E8:F8"/>
    <mergeCell ref="E9:F9"/>
    <mergeCell ref="E12:F12"/>
    <mergeCell ref="E13:F13"/>
    <mergeCell ref="E18:F18"/>
    <mergeCell ref="E19:F19"/>
    <mergeCell ref="E20:F20"/>
    <mergeCell ref="E21:F21"/>
    <mergeCell ref="B40:F40"/>
  </mergeCells>
  <pageMargins left="0.4" right="0.4" top="0.5" bottom="0.5" header="0.511811" footer="0.5"/>
  <pageSetup firstPageNumber="1" fitToHeight="1" fitToWidth="1" scale="100" useFirstPageNumber="0" orientation="landscape" pageOrder="downThenOver"/>
  <headerFooter>
    <oddFooter>&amp;R&amp;"Calibri,Regular"&amp;11&amp;K000000&amp;8&amp;P / &amp;N</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J24"/>
  <sheetViews>
    <sheetView workbookViewId="0" showGridLines="0" defaultGridColor="1"/>
  </sheetViews>
  <sheetFormatPr defaultColWidth="8.66667" defaultRowHeight="15" customHeight="1" outlineLevelRow="0" outlineLevelCol="0"/>
  <cols>
    <col min="1" max="1" width="12" style="185" customWidth="1"/>
    <col min="2" max="4" width="34" style="185" customWidth="1"/>
    <col min="5" max="5" width="26" style="185" customWidth="1"/>
    <col min="6" max="6" width="30" style="185" customWidth="1"/>
    <col min="7" max="7" width="32" style="185" customWidth="1"/>
    <col min="8" max="8" width="30" style="185" customWidth="1"/>
    <col min="9" max="9" width="34" style="185" customWidth="1"/>
    <col min="10" max="10" width="30" style="185" customWidth="1"/>
    <col min="11" max="16384" width="8.67188" style="185" customWidth="1"/>
  </cols>
  <sheetData>
    <row r="1" ht="13.55" customHeight="1">
      <c r="A1" s="7"/>
      <c r="B1" s="8"/>
      <c r="C1" s="8"/>
      <c r="D1" s="8"/>
      <c r="E1" s="8"/>
      <c r="F1" s="8"/>
      <c r="G1" s="8"/>
      <c r="H1" s="8"/>
      <c r="I1" s="8"/>
      <c r="J1" s="9"/>
    </row>
    <row r="2" ht="25.5" customHeight="1">
      <c r="A2" t="s" s="113">
        <v>258</v>
      </c>
      <c r="B2" s="12"/>
      <c r="C2" s="12"/>
      <c r="D2" s="12"/>
      <c r="E2" s="12"/>
      <c r="F2" s="12"/>
      <c r="G2" s="12"/>
      <c r="H2" s="12"/>
      <c r="I2" s="12"/>
      <c r="J2" s="13"/>
    </row>
    <row r="3" ht="13.65" customHeight="1">
      <c r="A3" t="s" s="114">
        <v>259</v>
      </c>
      <c r="B3" s="12"/>
      <c r="C3" s="12"/>
      <c r="D3" s="12"/>
      <c r="E3" s="12"/>
      <c r="F3" s="12"/>
      <c r="G3" s="12"/>
      <c r="H3" s="12"/>
      <c r="I3" s="12"/>
      <c r="J3" s="13"/>
    </row>
    <row r="4" ht="8" customHeight="1">
      <c r="A4" s="115"/>
      <c r="B4" s="20"/>
      <c r="C4" s="20"/>
      <c r="D4" s="20"/>
      <c r="E4" s="20"/>
      <c r="F4" s="20"/>
      <c r="G4" s="20"/>
      <c r="H4" s="20"/>
      <c r="I4" s="20"/>
      <c r="J4" s="21"/>
    </row>
    <row r="5" ht="27.75" customHeight="1">
      <c r="A5" t="s" s="186">
        <v>260</v>
      </c>
      <c r="B5" s="187"/>
      <c r="C5" s="187"/>
      <c r="D5" s="187"/>
      <c r="E5" s="187"/>
      <c r="F5" s="187"/>
      <c r="G5" s="187"/>
      <c r="H5" s="187"/>
      <c r="I5" s="187"/>
      <c r="J5" s="188"/>
    </row>
    <row r="6" ht="8" customHeight="1">
      <c r="A6" s="10"/>
      <c r="B6" s="12"/>
      <c r="C6" s="12"/>
      <c r="D6" s="12"/>
      <c r="E6" s="12"/>
      <c r="F6" s="12"/>
      <c r="G6" s="12"/>
      <c r="H6" s="12"/>
      <c r="I6" s="12"/>
      <c r="J6" s="13"/>
    </row>
    <row r="7" ht="31.5" customHeight="1">
      <c r="A7" t="s" s="123">
        <v>261</v>
      </c>
      <c r="B7" t="s" s="124">
        <v>262</v>
      </c>
      <c r="C7" t="s" s="124">
        <v>263</v>
      </c>
      <c r="D7" t="s" s="124">
        <v>207</v>
      </c>
      <c r="E7" t="s" s="124">
        <v>264</v>
      </c>
      <c r="F7" t="s" s="124">
        <v>265</v>
      </c>
      <c r="G7" t="s" s="124">
        <v>266</v>
      </c>
      <c r="H7" t="s" s="124">
        <v>130</v>
      </c>
      <c r="I7" t="s" s="125">
        <v>267</v>
      </c>
      <c r="J7" t="s" s="125">
        <v>268</v>
      </c>
    </row>
    <row r="8" ht="45.75" customHeight="1">
      <c r="A8" t="s" s="126">
        <v>269</v>
      </c>
      <c r="B8" s="137"/>
      <c r="C8" s="137"/>
      <c r="D8" s="137"/>
      <c r="E8" s="137"/>
      <c r="F8" s="137"/>
      <c r="G8" s="137"/>
      <c r="H8" s="139"/>
      <c r="I8" s="135"/>
      <c r="J8" s="135"/>
    </row>
    <row r="9" ht="45.75" customHeight="1">
      <c r="A9" t="s" s="126">
        <v>270</v>
      </c>
      <c r="B9" s="137"/>
      <c r="C9" s="137"/>
      <c r="D9" s="137"/>
      <c r="E9" s="137"/>
      <c r="F9" s="137"/>
      <c r="G9" s="137"/>
      <c r="H9" s="139"/>
      <c r="I9" s="135"/>
      <c r="J9" s="135"/>
    </row>
    <row r="10" ht="45.75" customHeight="1">
      <c r="A10" t="s" s="126">
        <v>271</v>
      </c>
      <c r="B10" s="137"/>
      <c r="C10" s="137"/>
      <c r="D10" s="137"/>
      <c r="E10" s="137"/>
      <c r="F10" s="137"/>
      <c r="G10" s="137"/>
      <c r="H10" s="139"/>
      <c r="I10" s="135"/>
      <c r="J10" s="135"/>
    </row>
    <row r="11" ht="45.75" customHeight="1">
      <c r="A11" t="s" s="126">
        <v>272</v>
      </c>
      <c r="B11" s="137"/>
      <c r="C11" s="137"/>
      <c r="D11" s="137"/>
      <c r="E11" s="137"/>
      <c r="F11" s="137"/>
      <c r="G11" s="137"/>
      <c r="H11" s="139"/>
      <c r="I11" s="135"/>
      <c r="J11" s="135"/>
    </row>
    <row r="12" ht="45.75" customHeight="1">
      <c r="A12" t="s" s="126">
        <v>273</v>
      </c>
      <c r="B12" s="137"/>
      <c r="C12" s="137"/>
      <c r="D12" s="137"/>
      <c r="E12" s="137"/>
      <c r="F12" s="137"/>
      <c r="G12" s="137"/>
      <c r="H12" s="139"/>
      <c r="I12" s="135"/>
      <c r="J12" s="135"/>
    </row>
    <row r="13" ht="45.75" customHeight="1">
      <c r="A13" t="s" s="126">
        <v>274</v>
      </c>
      <c r="B13" s="137"/>
      <c r="C13" s="137"/>
      <c r="D13" s="137"/>
      <c r="E13" s="137"/>
      <c r="F13" s="137"/>
      <c r="G13" s="137"/>
      <c r="H13" s="139"/>
      <c r="I13" s="135"/>
      <c r="J13" s="135"/>
    </row>
    <row r="14" ht="45.75" customHeight="1">
      <c r="A14" t="s" s="126">
        <v>275</v>
      </c>
      <c r="B14" s="137"/>
      <c r="C14" s="137"/>
      <c r="D14" s="137"/>
      <c r="E14" s="137"/>
      <c r="F14" s="137"/>
      <c r="G14" s="137"/>
      <c r="H14" s="139"/>
      <c r="I14" s="135"/>
      <c r="J14" s="135"/>
    </row>
    <row r="15" ht="45.75" customHeight="1">
      <c r="A15" t="s" s="126">
        <v>276</v>
      </c>
      <c r="B15" s="137"/>
      <c r="C15" s="137"/>
      <c r="D15" s="137"/>
      <c r="E15" s="137"/>
      <c r="F15" s="137"/>
      <c r="G15" s="137"/>
      <c r="H15" s="139"/>
      <c r="I15" s="135"/>
      <c r="J15" s="135"/>
    </row>
    <row r="16" ht="45.75" customHeight="1">
      <c r="A16" t="s" s="189">
        <v>277</v>
      </c>
      <c r="B16" s="137"/>
      <c r="C16" s="137"/>
      <c r="D16" s="137"/>
      <c r="E16" s="137"/>
      <c r="F16" s="137"/>
      <c r="G16" s="137"/>
      <c r="H16" s="139"/>
      <c r="I16" s="135"/>
      <c r="J16" s="135"/>
    </row>
    <row r="17" ht="45.75" customHeight="1">
      <c r="A17" s="190"/>
      <c r="B17" s="137"/>
      <c r="C17" s="137"/>
      <c r="D17" s="137"/>
      <c r="E17" s="137"/>
      <c r="F17" s="137"/>
      <c r="G17" s="137"/>
      <c r="H17" s="139"/>
      <c r="I17" s="135"/>
      <c r="J17" s="135"/>
    </row>
    <row r="18" ht="45.75" customHeight="1">
      <c r="A18" s="190"/>
      <c r="B18" s="137"/>
      <c r="C18" s="137"/>
      <c r="D18" s="137"/>
      <c r="E18" s="137"/>
      <c r="F18" s="137"/>
      <c r="G18" s="137"/>
      <c r="H18" s="139"/>
      <c r="I18" s="135"/>
      <c r="J18" s="135"/>
    </row>
    <row r="19" ht="45.75" customHeight="1">
      <c r="A19" s="190"/>
      <c r="B19" s="137"/>
      <c r="C19" s="137"/>
      <c r="D19" s="137"/>
      <c r="E19" s="137"/>
      <c r="F19" s="137"/>
      <c r="G19" s="137"/>
      <c r="H19" s="139"/>
      <c r="I19" s="135"/>
      <c r="J19" s="135"/>
    </row>
    <row r="20" ht="45.75" customHeight="1">
      <c r="A20" s="190"/>
      <c r="B20" s="137"/>
      <c r="C20" s="137"/>
      <c r="D20" s="137"/>
      <c r="E20" s="137"/>
      <c r="F20" s="137"/>
      <c r="G20" s="137"/>
      <c r="H20" s="139"/>
      <c r="I20" s="135"/>
      <c r="J20" s="135"/>
    </row>
    <row r="21" ht="45.75" customHeight="1">
      <c r="A21" s="190"/>
      <c r="B21" s="137"/>
      <c r="C21" s="137"/>
      <c r="D21" s="137"/>
      <c r="E21" s="137"/>
      <c r="F21" s="137"/>
      <c r="G21" s="137"/>
      <c r="H21" s="139"/>
      <c r="I21" s="135"/>
      <c r="J21" s="135"/>
    </row>
    <row r="22" ht="45.75" customHeight="1">
      <c r="A22" s="190"/>
      <c r="B22" s="137"/>
      <c r="C22" s="137"/>
      <c r="D22" s="137"/>
      <c r="E22" s="137"/>
      <c r="F22" s="137"/>
      <c r="G22" s="137"/>
      <c r="H22" s="139"/>
      <c r="I22" s="135"/>
      <c r="J22" s="135"/>
    </row>
    <row r="23" ht="13.55" customHeight="1">
      <c r="A23" s="191"/>
      <c r="B23" s="97"/>
      <c r="C23" s="97"/>
      <c r="D23" s="97"/>
      <c r="E23" s="97"/>
      <c r="F23" s="97"/>
      <c r="G23" s="97"/>
      <c r="H23" s="97"/>
      <c r="I23" s="141"/>
      <c r="J23" s="142"/>
    </row>
    <row r="24" ht="30" customHeight="1">
      <c r="A24" t="s" s="143">
        <v>278</v>
      </c>
      <c r="B24" s="144"/>
      <c r="C24" s="144"/>
      <c r="D24" s="144"/>
      <c r="E24" s="144"/>
      <c r="F24" s="144"/>
      <c r="G24" s="144"/>
      <c r="H24" s="144"/>
      <c r="I24" s="144"/>
      <c r="J24" s="145"/>
    </row>
  </sheetData>
  <mergeCells count="2">
    <mergeCell ref="A5:J5"/>
    <mergeCell ref="A24:J24"/>
  </mergeCells>
  <pageMargins left="0.4" right="0.4" top="0.5" bottom="0.5" header="0.511811" footer="0.5"/>
  <pageSetup firstPageNumber="1" fitToHeight="1" fitToWidth="1" scale="100" useFirstPageNumber="0" orientation="landscape" pageOrder="downThenOver"/>
  <headerFooter>
    <oddFooter>&amp;R&amp;"Calibri,Regular"&amp;11&amp;K000000&amp;8&amp;P / &amp;N</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